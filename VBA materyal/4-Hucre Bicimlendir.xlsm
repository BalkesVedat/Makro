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D:\Vedat\Eğitimler\Kaynaklar\VBA_makro\Eğitim Materyalleri\VBA materyal\"/>
    </mc:Choice>
  </mc:AlternateContent>
  <xr:revisionPtr revIDLastSave="0" documentId="13_ncr:1_{4DAB2C8E-7C31-49B1-A64F-3391DE15B222}" xr6:coauthVersionLast="47" xr6:coauthVersionMax="47" xr10:uidLastSave="{00000000-0000-0000-0000-000000000000}"/>
  <bookViews>
    <workbookView xWindow="-105" yWindow="0" windowWidth="9735" windowHeight="11625" firstSheet="2" activeTab="5" xr2:uid="{00000000-000D-0000-FFFF-FFFF00000000}"/>
  </bookViews>
  <sheets>
    <sheet name="Veriler" sheetId="2" r:id="rId1"/>
    <sheet name="Sayfa1" sheetId="21" r:id="rId2"/>
    <sheet name="Veriler (2)" sheetId="17" r:id="rId3"/>
    <sheet name="Veriler (3)" sheetId="18" r:id="rId4"/>
    <sheet name="Veriler (4)" sheetId="19" r:id="rId5"/>
    <sheet name="Veriler (5)" sheetId="2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20" l="1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2" i="2"/>
</calcChain>
</file>

<file path=xl/sharedStrings.xml><?xml version="1.0" encoding="utf-8"?>
<sst xmlns="http://schemas.openxmlformats.org/spreadsheetml/2006/main" count="265" uniqueCount="39">
  <si>
    <t>Hesap Kodu</t>
  </si>
  <si>
    <t>Açıklama</t>
  </si>
  <si>
    <t>Kredi Limiti</t>
  </si>
  <si>
    <t>Risk</t>
  </si>
  <si>
    <t>300AKİ</t>
  </si>
  <si>
    <t>AKBANK İSKONTO KREDİLERİ</t>
  </si>
  <si>
    <t>300AKS</t>
  </si>
  <si>
    <t>AKBANK SPOT KREDİLERİ</t>
  </si>
  <si>
    <t>300ANİ</t>
  </si>
  <si>
    <t>ANADOLUBANK İSKONTO KREDİLERİ</t>
  </si>
  <si>
    <t>300ANT</t>
  </si>
  <si>
    <t>ANADOLUBANK TAKSİTLİ KREDİLER</t>
  </si>
  <si>
    <t>300GRİ</t>
  </si>
  <si>
    <t>GARANTİ İSKONTO KREDİLERİ</t>
  </si>
  <si>
    <t>300GRK</t>
  </si>
  <si>
    <t>GARANTİ KMH KREDİLER</t>
  </si>
  <si>
    <t>300KVİ</t>
  </si>
  <si>
    <t>KUVEYTTÜRK İSKONTO KREDİLERİ</t>
  </si>
  <si>
    <t>300VKİ</t>
  </si>
  <si>
    <t>VAKIFBANK İSKONTO KREDİLERİ</t>
  </si>
  <si>
    <t>300VKR</t>
  </si>
  <si>
    <t>VAKIFBANK ROTATİF KREDİLER</t>
  </si>
  <si>
    <t>300YKİ</t>
  </si>
  <si>
    <t>YAPIKREDİ İSKONTO KREDİLERİ</t>
  </si>
  <si>
    <t>300ISR</t>
  </si>
  <si>
    <t>İŞ BANKASI ROTATİF KREDİLER</t>
  </si>
  <si>
    <t>300AKT</t>
  </si>
  <si>
    <t>AKBANK TAKSİTLİ KREDİLER</t>
  </si>
  <si>
    <t>300YKR</t>
  </si>
  <si>
    <t>YAPIKREDİ ROTATİF KREDİLER</t>
  </si>
  <si>
    <t>300IST</t>
  </si>
  <si>
    <t>İŞ BANKASI TAKSİTLİ KREDİLER</t>
  </si>
  <si>
    <t>300KVT</t>
  </si>
  <si>
    <t>KUVEYTTÜRK TAKSİTLİ KREDİLER</t>
  </si>
  <si>
    <t>Tarih</t>
  </si>
  <si>
    <t>Kur Usd</t>
  </si>
  <si>
    <t>İşlem Türü</t>
  </si>
  <si>
    <t>Kredi</t>
  </si>
  <si>
    <t>Oran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</si>
</sst>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162"/>
      <scheme val="minor"/>
    </font>
    <font>
      <sz val="8"/>
      <color theme="1"/>
      <name val="Verdana"/>
      <family val="2"/>
      <charset val="162"/>
    </font>
    <font>
      <sz val="12"/>
      <name val="Times New Roman"/>
      <family val="1"/>
      <charset val="162"/>
    </font>
    <font>
      <sz val="12"/>
      <color rgb="FF85994D"/>
      <name val="Verdana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rgb="FF7850B4"/>
        <bgColor indexed="64"/>
      </patternFill>
    </fill>
  </fills>
  <borders count="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/>
    </xf>
    <xf numFmtId="4" fontId="1" fillId="0" borderId="1" xfId="0" applyNumberFormat="1" applyFont="1" applyBorder="1" applyAlignment="1">
      <alignment horizontal="righ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49" fontId="2" fillId="0" borderId="2" xfId="0" applyNumberFormat="1" applyFont="1" applyBorder="1" applyAlignment="1">
      <alignment vertical="center" wrapText="1"/>
    </xf>
    <xf numFmtId="0" fontId="2" fillId="0" borderId="3" xfId="0" applyFont="1" applyBorder="1" applyAlignment="1">
      <alignment horizontal="left" vertical="center" wrapText="1"/>
    </xf>
    <xf numFmtId="4" fontId="2" fillId="0" borderId="3" xfId="0" applyNumberFormat="1" applyFont="1" applyBorder="1" applyAlignment="1">
      <alignment horizontal="right" vertical="center" wrapText="1"/>
    </xf>
    <xf numFmtId="4" fontId="2" fillId="0" borderId="4" xfId="0" applyNumberFormat="1" applyFont="1" applyBorder="1" applyAlignment="1">
      <alignment horizontal="right" vertical="center" wrapText="1"/>
    </xf>
    <xf numFmtId="4" fontId="2" fillId="0" borderId="1" xfId="0" applyNumberFormat="1" applyFont="1" applyBorder="1" applyAlignment="1">
      <alignment horizontal="righ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right" vertical="center"/>
    </xf>
    <xf numFmtId="49" fontId="3" fillId="2" borderId="2" xfId="0" applyNumberFormat="1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left" vertical="center" wrapText="1"/>
    </xf>
    <xf numFmtId="4" fontId="3" fillId="2" borderId="3" xfId="0" applyNumberFormat="1" applyFont="1" applyFill="1" applyBorder="1" applyAlignment="1">
      <alignment horizontal="right" vertical="center" wrapText="1"/>
    </xf>
    <xf numFmtId="4" fontId="3" fillId="2" borderId="4" xfId="0" applyNumberFormat="1" applyFont="1" applyFill="1" applyBorder="1" applyAlignment="1">
      <alignment horizontal="right" vertical="center" wrapText="1"/>
    </xf>
    <xf numFmtId="4" fontId="3" fillId="2" borderId="1" xfId="0" applyNumberFormat="1" applyFont="1" applyFill="1" applyBorder="1" applyAlignment="1">
      <alignment horizontal="right" vertical="center" wrapText="1"/>
    </xf>
    <xf numFmtId="49" fontId="3" fillId="2" borderId="1" xfId="0" applyNumberFormat="1" applyFont="1" applyFill="1" applyBorder="1" applyAlignment="1">
      <alignment vertical="center"/>
    </xf>
    <xf numFmtId="14" fontId="3" fillId="2" borderId="1" xfId="0" applyNumberFormat="1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9" fontId="3" fillId="2" borderId="4" xfId="0" applyNumberFormat="1" applyFont="1" applyFill="1" applyBorder="1" applyAlignment="1">
      <alignment horizontal="right" vertical="center" wrapText="1"/>
    </xf>
    <xf numFmtId="9" fontId="3" fillId="2" borderId="1" xfId="0" applyNumberFormat="1" applyFont="1" applyFill="1" applyBorder="1" applyAlignment="1">
      <alignment horizontal="right" vertical="center"/>
    </xf>
    <xf numFmtId="9" fontId="0" fillId="0" borderId="0" xfId="0" applyNumberForma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5DF4D"/>
      <color rgb="FF7850B4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H16"/>
  <sheetViews>
    <sheetView showGridLines="0" showZeros="0" workbookViewId="0">
      <selection activeCell="B5" sqref="B5"/>
    </sheetView>
  </sheetViews>
  <sheetFormatPr defaultColWidth="10.7109375" defaultRowHeight="12" customHeight="1" x14ac:dyDescent="0.25"/>
  <cols>
    <col min="1" max="1" width="10.42578125" style="7" bestFit="1" customWidth="1"/>
    <col min="2" max="2" width="45.42578125" style="8" bestFit="1" customWidth="1"/>
    <col min="3" max="4" width="14.28515625" style="9" bestFit="1" customWidth="1"/>
    <col min="5" max="5" width="6.5703125" style="28" bestFit="1" customWidth="1"/>
    <col min="6" max="6" width="14.5703125" style="1" bestFit="1" customWidth="1"/>
    <col min="7" max="7" width="9.85546875" style="1" bestFit="1" customWidth="1"/>
    <col min="8" max="8" width="7.85546875" style="1" bestFit="1" customWidth="1"/>
    <col min="9" max="16384" width="10.7109375" style="1"/>
  </cols>
  <sheetData>
    <row r="1" spans="1:8" ht="30" x14ac:dyDescent="0.25">
      <c r="A1" s="18" t="s">
        <v>0</v>
      </c>
      <c r="B1" s="19" t="s">
        <v>1</v>
      </c>
      <c r="C1" s="20" t="s">
        <v>2</v>
      </c>
      <c r="D1" s="20" t="s">
        <v>3</v>
      </c>
      <c r="E1" s="26" t="s">
        <v>38</v>
      </c>
      <c r="F1" s="21" t="s">
        <v>34</v>
      </c>
      <c r="G1" s="21" t="s">
        <v>35</v>
      </c>
      <c r="H1" s="22" t="s">
        <v>36</v>
      </c>
    </row>
    <row r="2" spans="1:8" ht="15" x14ac:dyDescent="0.25">
      <c r="A2" s="23" t="s">
        <v>4</v>
      </c>
      <c r="B2" s="16" t="s">
        <v>5</v>
      </c>
      <c r="C2" s="17">
        <v>325000</v>
      </c>
      <c r="D2" s="17">
        <v>0</v>
      </c>
      <c r="E2" s="27">
        <f>IF(D2="",1,D2/C2)</f>
        <v>0</v>
      </c>
      <c r="F2" s="24">
        <v>42053</v>
      </c>
      <c r="G2" s="25">
        <v>2.4481999999999999</v>
      </c>
      <c r="H2" s="25" t="s">
        <v>37</v>
      </c>
    </row>
    <row r="3" spans="1:8" ht="15" x14ac:dyDescent="0.25">
      <c r="A3" s="23" t="s">
        <v>6</v>
      </c>
      <c r="B3" s="16" t="s">
        <v>7</v>
      </c>
      <c r="C3" s="17">
        <v>300000</v>
      </c>
      <c r="D3" s="17">
        <v>0</v>
      </c>
      <c r="E3" s="27">
        <f t="shared" ref="E3:E16" si="0">IF(D3="",1,D3/C3)</f>
        <v>0</v>
      </c>
      <c r="F3" s="24">
        <v>42053</v>
      </c>
      <c r="G3" s="25">
        <v>2.4481999999999999</v>
      </c>
      <c r="H3" s="25" t="s">
        <v>37</v>
      </c>
    </row>
    <row r="4" spans="1:8" ht="15" x14ac:dyDescent="0.25">
      <c r="A4" s="23" t="s">
        <v>26</v>
      </c>
      <c r="B4" s="16" t="s">
        <v>27</v>
      </c>
      <c r="C4" s="17">
        <v>175000</v>
      </c>
      <c r="D4" s="17">
        <v>133264.41</v>
      </c>
      <c r="E4" s="27">
        <f t="shared" si="0"/>
        <v>0.76151091428571427</v>
      </c>
      <c r="F4" s="24">
        <v>42053</v>
      </c>
      <c r="G4" s="25">
        <v>2.4481999999999999</v>
      </c>
      <c r="H4" s="25" t="s">
        <v>37</v>
      </c>
    </row>
    <row r="5" spans="1:8" ht="15" x14ac:dyDescent="0.25">
      <c r="A5" s="23" t="s">
        <v>8</v>
      </c>
      <c r="B5" s="16" t="s">
        <v>9</v>
      </c>
      <c r="C5" s="17">
        <v>494706</v>
      </c>
      <c r="D5" s="17">
        <v>0</v>
      </c>
      <c r="E5" s="27">
        <f t="shared" si="0"/>
        <v>0</v>
      </c>
      <c r="F5" s="24">
        <v>42054</v>
      </c>
      <c r="G5" s="25">
        <v>2.4481999999999999</v>
      </c>
      <c r="H5" s="25" t="s">
        <v>37</v>
      </c>
    </row>
    <row r="6" spans="1:8" ht="15" x14ac:dyDescent="0.25">
      <c r="A6" s="23" t="s">
        <v>10</v>
      </c>
      <c r="B6" s="16" t="s">
        <v>11</v>
      </c>
      <c r="C6" s="17">
        <v>505294</v>
      </c>
      <c r="D6" s="17">
        <v>417854.79</v>
      </c>
      <c r="E6" s="27">
        <f t="shared" si="0"/>
        <v>0.82695379323720442</v>
      </c>
      <c r="F6" s="24">
        <v>42055</v>
      </c>
      <c r="G6" s="25">
        <v>2.4481999999999999</v>
      </c>
      <c r="H6" s="25" t="s">
        <v>37</v>
      </c>
    </row>
    <row r="7" spans="1:8" ht="15" x14ac:dyDescent="0.25">
      <c r="A7" s="23" t="s">
        <v>12</v>
      </c>
      <c r="B7" s="16" t="s">
        <v>13</v>
      </c>
      <c r="C7" s="17">
        <v>700000</v>
      </c>
      <c r="D7" s="17">
        <v>90000</v>
      </c>
      <c r="E7" s="27">
        <f t="shared" si="0"/>
        <v>0.12857142857142856</v>
      </c>
      <c r="F7" s="24">
        <v>42056</v>
      </c>
      <c r="G7" s="25">
        <v>2.4481999999999999</v>
      </c>
      <c r="H7" s="25" t="s">
        <v>37</v>
      </c>
    </row>
    <row r="8" spans="1:8" ht="15" x14ac:dyDescent="0.25">
      <c r="A8" s="23" t="s">
        <v>14</v>
      </c>
      <c r="B8" s="16" t="s">
        <v>15</v>
      </c>
      <c r="C8" s="17">
        <v>120000</v>
      </c>
      <c r="D8" s="17">
        <v>0</v>
      </c>
      <c r="E8" s="27">
        <f t="shared" si="0"/>
        <v>0</v>
      </c>
      <c r="F8" s="24">
        <v>42057</v>
      </c>
      <c r="G8" s="25">
        <v>2.4481999999999999</v>
      </c>
      <c r="H8" s="25" t="s">
        <v>37</v>
      </c>
    </row>
    <row r="9" spans="1:8" ht="15" x14ac:dyDescent="0.25">
      <c r="A9" s="23" t="s">
        <v>24</v>
      </c>
      <c r="B9" s="16" t="s">
        <v>25</v>
      </c>
      <c r="C9" s="17">
        <v>200000</v>
      </c>
      <c r="D9" s="17">
        <v>0</v>
      </c>
      <c r="E9" s="27">
        <f t="shared" si="0"/>
        <v>0</v>
      </c>
      <c r="F9" s="24">
        <v>42057</v>
      </c>
      <c r="G9" s="25">
        <v>2.4481999999999999</v>
      </c>
      <c r="H9" s="25" t="s">
        <v>37</v>
      </c>
    </row>
    <row r="10" spans="1:8" ht="15" x14ac:dyDescent="0.25">
      <c r="A10" s="23" t="s">
        <v>30</v>
      </c>
      <c r="B10" s="16" t="s">
        <v>31</v>
      </c>
      <c r="C10" s="17">
        <v>300000</v>
      </c>
      <c r="D10" s="17">
        <v>252338.32</v>
      </c>
      <c r="E10" s="27">
        <f t="shared" si="0"/>
        <v>0.84112773333333335</v>
      </c>
      <c r="F10" s="24">
        <v>42057</v>
      </c>
      <c r="G10" s="25">
        <v>2.4481999999999999</v>
      </c>
      <c r="H10" s="25" t="s">
        <v>37</v>
      </c>
    </row>
    <row r="11" spans="1:8" ht="15" x14ac:dyDescent="0.25">
      <c r="A11" s="23" t="s">
        <v>16</v>
      </c>
      <c r="B11" s="16" t="s">
        <v>17</v>
      </c>
      <c r="C11" s="17">
        <v>286652.02</v>
      </c>
      <c r="D11" s="17">
        <v>0</v>
      </c>
      <c r="E11" s="27">
        <f t="shared" si="0"/>
        <v>0</v>
      </c>
      <c r="F11" s="24">
        <v>42057</v>
      </c>
      <c r="G11" s="25">
        <v>2.4481999999999999</v>
      </c>
      <c r="H11" s="25" t="s">
        <v>37</v>
      </c>
    </row>
    <row r="12" spans="1:8" ht="15" x14ac:dyDescent="0.25">
      <c r="A12" s="23" t="s">
        <v>32</v>
      </c>
      <c r="B12" s="16" t="s">
        <v>33</v>
      </c>
      <c r="C12" s="17">
        <v>258347.98</v>
      </c>
      <c r="D12" s="17">
        <v>216110.67</v>
      </c>
      <c r="E12" s="27">
        <f t="shared" si="0"/>
        <v>0.83651000483920956</v>
      </c>
      <c r="F12" s="24">
        <v>42053</v>
      </c>
      <c r="G12" s="25">
        <v>2.4481999999999999</v>
      </c>
      <c r="H12" s="25" t="s">
        <v>37</v>
      </c>
    </row>
    <row r="13" spans="1:8" ht="15" x14ac:dyDescent="0.25">
      <c r="A13" s="23" t="s">
        <v>18</v>
      </c>
      <c r="B13" s="16" t="s">
        <v>19</v>
      </c>
      <c r="C13" s="17">
        <v>1250000</v>
      </c>
      <c r="D13" s="17">
        <v>225000.57</v>
      </c>
      <c r="E13" s="27">
        <f t="shared" si="0"/>
        <v>0.180000456</v>
      </c>
      <c r="F13" s="24">
        <v>42053</v>
      </c>
      <c r="G13" s="25">
        <v>2.4481999999999999</v>
      </c>
      <c r="H13" s="25" t="s">
        <v>37</v>
      </c>
    </row>
    <row r="14" spans="1:8" ht="15" x14ac:dyDescent="0.25">
      <c r="A14" s="23" t="s">
        <v>20</v>
      </c>
      <c r="B14" s="16" t="s">
        <v>21</v>
      </c>
      <c r="C14" s="17">
        <v>250000</v>
      </c>
      <c r="D14" s="17">
        <v>0</v>
      </c>
      <c r="E14" s="27">
        <f t="shared" si="0"/>
        <v>0</v>
      </c>
      <c r="F14" s="24">
        <v>42057</v>
      </c>
      <c r="G14" s="25">
        <v>2.4481999999999999</v>
      </c>
      <c r="H14" s="25" t="s">
        <v>37</v>
      </c>
    </row>
    <row r="15" spans="1:8" ht="15" x14ac:dyDescent="0.25">
      <c r="A15" s="23" t="s">
        <v>22</v>
      </c>
      <c r="B15" s="16" t="s">
        <v>23</v>
      </c>
      <c r="C15" s="17">
        <v>360000</v>
      </c>
      <c r="D15" s="17">
        <v>0</v>
      </c>
      <c r="E15" s="27">
        <f t="shared" si="0"/>
        <v>0</v>
      </c>
      <c r="F15" s="24">
        <v>42057</v>
      </c>
      <c r="G15" s="25">
        <v>2.4481999999999999</v>
      </c>
      <c r="H15" s="25" t="s">
        <v>37</v>
      </c>
    </row>
    <row r="16" spans="1:8" ht="15" x14ac:dyDescent="0.25">
      <c r="A16" s="23" t="s">
        <v>28</v>
      </c>
      <c r="B16" s="16" t="s">
        <v>29</v>
      </c>
      <c r="C16" s="17">
        <v>240000</v>
      </c>
      <c r="D16" s="17">
        <v>0</v>
      </c>
      <c r="E16" s="27">
        <f t="shared" si="0"/>
        <v>0</v>
      </c>
      <c r="F16" s="24">
        <v>42053</v>
      </c>
      <c r="G16" s="25">
        <v>2.4481999999999999</v>
      </c>
      <c r="H16" s="25" t="s">
        <v>37</v>
      </c>
    </row>
  </sheetData>
  <printOptions horizontalCentered="1"/>
  <pageMargins left="0.5" right="0.5" top="0.6" bottom="0.4" header="0.2" footer="0.1"/>
  <pageSetup paperSize="9" scale="96" fitToHeight="0" orientation="landscape" horizontalDpi="4294967293" r:id="rId1"/>
  <headerFooter>
    <oddHeader>&amp;C&amp;"Verdana,Kalın"&amp;14&amp;UYURT İÇİ KREDİ VE RİSK LİMİTİ</oddHeader>
    <oddFooter>&amp;C&amp;"Tahoma,Normal"&amp;9 damla 
18/02/2015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ABF5E-3323-40EE-AA8B-9EC1676F1EF0}">
  <sheetPr codeName="Sayfa5"/>
  <dimension ref="A1"/>
  <sheetViews>
    <sheetView workbookViewId="0">
      <selection activeCell="I9" sqref="I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1">
    <pageSetUpPr fitToPage="1"/>
  </sheetPr>
  <dimension ref="A1:H16"/>
  <sheetViews>
    <sheetView showGridLines="0" showZeros="0" workbookViewId="0">
      <selection sqref="A1:H16"/>
    </sheetView>
  </sheetViews>
  <sheetFormatPr defaultColWidth="10.7109375" defaultRowHeight="12" customHeight="1" x14ac:dyDescent="0.25"/>
  <cols>
    <col min="1" max="1" width="10.42578125" style="7" bestFit="1" customWidth="1"/>
    <col min="2" max="2" width="45.42578125" style="8" bestFit="1" customWidth="1"/>
    <col min="3" max="4" width="14.28515625" style="9" bestFit="1" customWidth="1"/>
    <col min="5" max="5" width="6.42578125" style="28" bestFit="1" customWidth="1"/>
    <col min="6" max="6" width="14.5703125" style="1" bestFit="1" customWidth="1"/>
    <col min="7" max="7" width="9.85546875" style="1" bestFit="1" customWidth="1"/>
    <col min="8" max="8" width="7.85546875" style="1" bestFit="1" customWidth="1"/>
    <col min="9" max="16384" width="10.7109375" style="1"/>
  </cols>
  <sheetData>
    <row r="1" spans="1:8" ht="30" x14ac:dyDescent="0.25">
      <c r="A1" s="18" t="s">
        <v>0</v>
      </c>
      <c r="B1" s="19" t="s">
        <v>1</v>
      </c>
      <c r="C1" s="20" t="s">
        <v>2</v>
      </c>
      <c r="D1" s="20" t="s">
        <v>3</v>
      </c>
      <c r="E1" s="26" t="s">
        <v>38</v>
      </c>
      <c r="F1" s="21" t="s">
        <v>34</v>
      </c>
      <c r="G1" s="21" t="s">
        <v>35</v>
      </c>
      <c r="H1" s="22" t="s">
        <v>36</v>
      </c>
    </row>
    <row r="2" spans="1:8" ht="15" x14ac:dyDescent="0.25">
      <c r="A2" s="23" t="s">
        <v>4</v>
      </c>
      <c r="B2" s="16" t="s">
        <v>5</v>
      </c>
      <c r="C2" s="17">
        <v>325000</v>
      </c>
      <c r="D2" s="17">
        <v>0</v>
      </c>
      <c r="E2" s="27">
        <f>IF(D2="",1,D2/C2)</f>
        <v>0</v>
      </c>
      <c r="F2" s="24">
        <v>42053</v>
      </c>
      <c r="G2" s="25">
        <v>2.4481999999999999</v>
      </c>
      <c r="H2" s="25" t="s">
        <v>37</v>
      </c>
    </row>
    <row r="3" spans="1:8" ht="15" x14ac:dyDescent="0.25">
      <c r="A3" s="23" t="s">
        <v>6</v>
      </c>
      <c r="B3" s="16" t="s">
        <v>7</v>
      </c>
      <c r="C3" s="17">
        <v>300000</v>
      </c>
      <c r="D3" s="17">
        <v>0</v>
      </c>
      <c r="E3" s="27">
        <f t="shared" ref="E3:E16" si="0">IF(D3="",1,D3/C3)</f>
        <v>0</v>
      </c>
      <c r="F3" s="24">
        <v>42053</v>
      </c>
      <c r="G3" s="25">
        <v>2.4481999999999999</v>
      </c>
      <c r="H3" s="25" t="s">
        <v>37</v>
      </c>
    </row>
    <row r="4" spans="1:8" ht="15" x14ac:dyDescent="0.25">
      <c r="A4" s="23" t="s">
        <v>26</v>
      </c>
      <c r="B4" s="16" t="s">
        <v>27</v>
      </c>
      <c r="C4" s="17">
        <v>175000</v>
      </c>
      <c r="D4" s="17">
        <v>133264.41</v>
      </c>
      <c r="E4" s="27">
        <f t="shared" si="0"/>
        <v>0.76151091428571427</v>
      </c>
      <c r="F4" s="24">
        <v>42053</v>
      </c>
      <c r="G4" s="25">
        <v>2.4481999999999999</v>
      </c>
      <c r="H4" s="25" t="s">
        <v>37</v>
      </c>
    </row>
    <row r="5" spans="1:8" ht="15" x14ac:dyDescent="0.25">
      <c r="A5" s="23" t="s">
        <v>8</v>
      </c>
      <c r="B5" s="16" t="s">
        <v>9</v>
      </c>
      <c r="C5" s="17">
        <v>494706</v>
      </c>
      <c r="D5" s="17">
        <v>0</v>
      </c>
      <c r="E5" s="27">
        <f t="shared" si="0"/>
        <v>0</v>
      </c>
      <c r="F5" s="24">
        <v>42054</v>
      </c>
      <c r="G5" s="25">
        <v>2.4481999999999999</v>
      </c>
      <c r="H5" s="25" t="s">
        <v>37</v>
      </c>
    </row>
    <row r="6" spans="1:8" ht="15" x14ac:dyDescent="0.25">
      <c r="A6" s="23" t="s">
        <v>10</v>
      </c>
      <c r="B6" s="16" t="s">
        <v>11</v>
      </c>
      <c r="C6" s="17">
        <v>505294</v>
      </c>
      <c r="D6" s="17">
        <v>417854.79</v>
      </c>
      <c r="E6" s="27">
        <f t="shared" si="0"/>
        <v>0.82695379323720442</v>
      </c>
      <c r="F6" s="24">
        <v>42055</v>
      </c>
      <c r="G6" s="25">
        <v>2.4481999999999999</v>
      </c>
      <c r="H6" s="25" t="s">
        <v>37</v>
      </c>
    </row>
    <row r="7" spans="1:8" ht="15" x14ac:dyDescent="0.25">
      <c r="A7" s="23" t="s">
        <v>12</v>
      </c>
      <c r="B7" s="16" t="s">
        <v>13</v>
      </c>
      <c r="C7" s="17">
        <v>700000</v>
      </c>
      <c r="D7" s="17">
        <v>90000</v>
      </c>
      <c r="E7" s="27">
        <f t="shared" si="0"/>
        <v>0.12857142857142856</v>
      </c>
      <c r="F7" s="24">
        <v>42056</v>
      </c>
      <c r="G7" s="25">
        <v>2.4481999999999999</v>
      </c>
      <c r="H7" s="25" t="s">
        <v>37</v>
      </c>
    </row>
    <row r="8" spans="1:8" ht="15" x14ac:dyDescent="0.25">
      <c r="A8" s="23" t="s">
        <v>14</v>
      </c>
      <c r="B8" s="16" t="s">
        <v>15</v>
      </c>
      <c r="C8" s="17">
        <v>120000</v>
      </c>
      <c r="D8" s="17">
        <v>0</v>
      </c>
      <c r="E8" s="27">
        <f t="shared" si="0"/>
        <v>0</v>
      </c>
      <c r="F8" s="24">
        <v>42057</v>
      </c>
      <c r="G8" s="25">
        <v>2.4481999999999999</v>
      </c>
      <c r="H8" s="25" t="s">
        <v>37</v>
      </c>
    </row>
    <row r="9" spans="1:8" ht="15" x14ac:dyDescent="0.25">
      <c r="A9" s="23" t="s">
        <v>24</v>
      </c>
      <c r="B9" s="16" t="s">
        <v>25</v>
      </c>
      <c r="C9" s="17">
        <v>200000</v>
      </c>
      <c r="D9" s="17">
        <v>0</v>
      </c>
      <c r="E9" s="27">
        <f t="shared" si="0"/>
        <v>0</v>
      </c>
      <c r="F9" s="24">
        <v>42057</v>
      </c>
      <c r="G9" s="25">
        <v>2.4481999999999999</v>
      </c>
      <c r="H9" s="25" t="s">
        <v>37</v>
      </c>
    </row>
    <row r="10" spans="1:8" ht="15" x14ac:dyDescent="0.25">
      <c r="A10" s="23" t="s">
        <v>30</v>
      </c>
      <c r="B10" s="16" t="s">
        <v>31</v>
      </c>
      <c r="C10" s="17">
        <v>300000</v>
      </c>
      <c r="D10" s="17">
        <v>252338.32</v>
      </c>
      <c r="E10" s="27">
        <f t="shared" si="0"/>
        <v>0.84112773333333335</v>
      </c>
      <c r="F10" s="24">
        <v>42057</v>
      </c>
      <c r="G10" s="25">
        <v>2.4481999999999999</v>
      </c>
      <c r="H10" s="25" t="s">
        <v>37</v>
      </c>
    </row>
    <row r="11" spans="1:8" ht="15" x14ac:dyDescent="0.25">
      <c r="A11" s="23" t="s">
        <v>16</v>
      </c>
      <c r="B11" s="16" t="s">
        <v>17</v>
      </c>
      <c r="C11" s="17">
        <v>286652.02</v>
      </c>
      <c r="D11" s="17">
        <v>0</v>
      </c>
      <c r="E11" s="27">
        <f t="shared" si="0"/>
        <v>0</v>
      </c>
      <c r="F11" s="24">
        <v>42057</v>
      </c>
      <c r="G11" s="25">
        <v>2.4481999999999999</v>
      </c>
      <c r="H11" s="25" t="s">
        <v>37</v>
      </c>
    </row>
    <row r="12" spans="1:8" ht="15" x14ac:dyDescent="0.25">
      <c r="A12" s="23" t="s">
        <v>32</v>
      </c>
      <c r="B12" s="16" t="s">
        <v>33</v>
      </c>
      <c r="C12" s="17">
        <v>258347.98</v>
      </c>
      <c r="D12" s="17">
        <v>216110.67</v>
      </c>
      <c r="E12" s="27">
        <f t="shared" si="0"/>
        <v>0.83651000483920956</v>
      </c>
      <c r="F12" s="24">
        <v>42053</v>
      </c>
      <c r="G12" s="25">
        <v>2.4481999999999999</v>
      </c>
      <c r="H12" s="25" t="s">
        <v>37</v>
      </c>
    </row>
    <row r="13" spans="1:8" ht="15" x14ac:dyDescent="0.25">
      <c r="A13" s="23" t="s">
        <v>18</v>
      </c>
      <c r="B13" s="16" t="s">
        <v>19</v>
      </c>
      <c r="C13" s="17">
        <v>1250000</v>
      </c>
      <c r="D13" s="17">
        <v>225000.57</v>
      </c>
      <c r="E13" s="27">
        <f t="shared" si="0"/>
        <v>0.180000456</v>
      </c>
      <c r="F13" s="24">
        <v>42053</v>
      </c>
      <c r="G13" s="25">
        <v>2.4481999999999999</v>
      </c>
      <c r="H13" s="25" t="s">
        <v>37</v>
      </c>
    </row>
    <row r="14" spans="1:8" ht="15" x14ac:dyDescent="0.25">
      <c r="A14" s="23" t="s">
        <v>20</v>
      </c>
      <c r="B14" s="16" t="s">
        <v>21</v>
      </c>
      <c r="C14" s="17">
        <v>250000</v>
      </c>
      <c r="D14" s="17">
        <v>0</v>
      </c>
      <c r="E14" s="27">
        <f t="shared" si="0"/>
        <v>0</v>
      </c>
      <c r="F14" s="24">
        <v>42057</v>
      </c>
      <c r="G14" s="25">
        <v>2.4481999999999999</v>
      </c>
      <c r="H14" s="25" t="s">
        <v>37</v>
      </c>
    </row>
    <row r="15" spans="1:8" ht="15" x14ac:dyDescent="0.25">
      <c r="A15" s="23" t="s">
        <v>22</v>
      </c>
      <c r="B15" s="16" t="s">
        <v>23</v>
      </c>
      <c r="C15" s="17">
        <v>360000</v>
      </c>
      <c r="D15" s="17">
        <v>0</v>
      </c>
      <c r="E15" s="27">
        <f t="shared" si="0"/>
        <v>0</v>
      </c>
      <c r="F15" s="24">
        <v>42057</v>
      </c>
      <c r="G15" s="25">
        <v>2.4481999999999999</v>
      </c>
      <c r="H15" s="25" t="s">
        <v>37</v>
      </c>
    </row>
    <row r="16" spans="1:8" ht="15" x14ac:dyDescent="0.25">
      <c r="A16" s="23" t="s">
        <v>28</v>
      </c>
      <c r="B16" s="16" t="s">
        <v>29</v>
      </c>
      <c r="C16" s="17">
        <v>240000</v>
      </c>
      <c r="D16" s="17">
        <v>0</v>
      </c>
      <c r="E16" s="27">
        <f t="shared" si="0"/>
        <v>0</v>
      </c>
      <c r="F16" s="24">
        <v>42053</v>
      </c>
      <c r="G16" s="25">
        <v>2.4481999999999999</v>
      </c>
      <c r="H16" s="25" t="s">
        <v>37</v>
      </c>
    </row>
  </sheetData>
  <printOptions horizontalCentered="1"/>
  <pageMargins left="0.5" right="0.5" top="0.6" bottom="0.4" header="0.2" footer="0.1"/>
  <pageSetup paperSize="9" scale="96" fitToHeight="0" orientation="landscape" horizontalDpi="4294967293" r:id="rId1"/>
  <headerFooter>
    <oddHeader>&amp;C&amp;"Verdana,Kalın"&amp;14&amp;UYURT İÇİ KREDİ VE RİSK LİMİTİ</oddHeader>
    <oddFooter>&amp;C&amp;"Tahoma,Normal"&amp;9 damla 
18/02/2015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>
    <pageSetUpPr fitToPage="1"/>
  </sheetPr>
  <dimension ref="A1:H16"/>
  <sheetViews>
    <sheetView showGridLines="0" showZeros="0" workbookViewId="0">
      <selection sqref="A1:H16"/>
    </sheetView>
  </sheetViews>
  <sheetFormatPr defaultColWidth="10.7109375" defaultRowHeight="12" customHeight="1" x14ac:dyDescent="0.25"/>
  <cols>
    <col min="1" max="1" width="10.42578125" style="7" bestFit="1" customWidth="1"/>
    <col min="2" max="2" width="45.42578125" style="8" bestFit="1" customWidth="1"/>
    <col min="3" max="4" width="14.28515625" style="9" bestFit="1" customWidth="1"/>
    <col min="5" max="5" width="6.42578125" style="28" bestFit="1" customWidth="1"/>
    <col min="6" max="6" width="14.5703125" style="1" bestFit="1" customWidth="1"/>
    <col min="7" max="7" width="9.85546875" style="1" bestFit="1" customWidth="1"/>
    <col min="8" max="8" width="7.85546875" style="1" bestFit="1" customWidth="1"/>
    <col min="9" max="16384" width="10.7109375" style="1"/>
  </cols>
  <sheetData>
    <row r="1" spans="1:8" ht="30" x14ac:dyDescent="0.25">
      <c r="A1" s="18" t="s">
        <v>0</v>
      </c>
      <c r="B1" s="19" t="s">
        <v>1</v>
      </c>
      <c r="C1" s="20" t="s">
        <v>2</v>
      </c>
      <c r="D1" s="20" t="s">
        <v>3</v>
      </c>
      <c r="E1" s="26" t="s">
        <v>38</v>
      </c>
      <c r="F1" s="21" t="s">
        <v>34</v>
      </c>
      <c r="G1" s="21" t="s">
        <v>35</v>
      </c>
      <c r="H1" s="22" t="s">
        <v>36</v>
      </c>
    </row>
    <row r="2" spans="1:8" ht="15" x14ac:dyDescent="0.25">
      <c r="A2" s="23" t="s">
        <v>4</v>
      </c>
      <c r="B2" s="16" t="s">
        <v>5</v>
      </c>
      <c r="C2" s="17">
        <v>325000</v>
      </c>
      <c r="D2" s="17">
        <v>0</v>
      </c>
      <c r="E2" s="27">
        <f>IF(D2="",1,D2/C2)</f>
        <v>0</v>
      </c>
      <c r="F2" s="24">
        <v>42053</v>
      </c>
      <c r="G2" s="25">
        <v>2.4481999999999999</v>
      </c>
      <c r="H2" s="25" t="s">
        <v>37</v>
      </c>
    </row>
    <row r="3" spans="1:8" ht="15" x14ac:dyDescent="0.25">
      <c r="A3" s="23" t="s">
        <v>6</v>
      </c>
      <c r="B3" s="16" t="s">
        <v>7</v>
      </c>
      <c r="C3" s="17">
        <v>300000</v>
      </c>
      <c r="D3" s="17">
        <v>0</v>
      </c>
      <c r="E3" s="27">
        <f t="shared" ref="E3:E16" si="0">IF(D3="",1,D3/C3)</f>
        <v>0</v>
      </c>
      <c r="F3" s="24">
        <v>42053</v>
      </c>
      <c r="G3" s="25">
        <v>2.4481999999999999</v>
      </c>
      <c r="H3" s="25" t="s">
        <v>37</v>
      </c>
    </row>
    <row r="4" spans="1:8" ht="15" x14ac:dyDescent="0.25">
      <c r="A4" s="23" t="s">
        <v>26</v>
      </c>
      <c r="B4" s="16" t="s">
        <v>27</v>
      </c>
      <c r="C4" s="17">
        <v>175000</v>
      </c>
      <c r="D4" s="17">
        <v>133264.41</v>
      </c>
      <c r="E4" s="27">
        <f t="shared" si="0"/>
        <v>0.76151091428571427</v>
      </c>
      <c r="F4" s="24">
        <v>42053</v>
      </c>
      <c r="G4" s="25">
        <v>2.4481999999999999</v>
      </c>
      <c r="H4" s="25" t="s">
        <v>37</v>
      </c>
    </row>
    <row r="5" spans="1:8" ht="15" x14ac:dyDescent="0.25">
      <c r="A5" s="23" t="s">
        <v>8</v>
      </c>
      <c r="B5" s="16" t="s">
        <v>9</v>
      </c>
      <c r="C5" s="17">
        <v>494706</v>
      </c>
      <c r="D5" s="17">
        <v>0</v>
      </c>
      <c r="E5" s="27">
        <f t="shared" si="0"/>
        <v>0</v>
      </c>
      <c r="F5" s="24">
        <v>42054</v>
      </c>
      <c r="G5" s="25">
        <v>2.4481999999999999</v>
      </c>
      <c r="H5" s="25" t="s">
        <v>37</v>
      </c>
    </row>
    <row r="6" spans="1:8" ht="15" x14ac:dyDescent="0.25">
      <c r="A6" s="23" t="s">
        <v>10</v>
      </c>
      <c r="B6" s="16" t="s">
        <v>11</v>
      </c>
      <c r="C6" s="17">
        <v>505294</v>
      </c>
      <c r="D6" s="17">
        <v>417854.79</v>
      </c>
      <c r="E6" s="27">
        <f t="shared" si="0"/>
        <v>0.82695379323720442</v>
      </c>
      <c r="F6" s="24">
        <v>42055</v>
      </c>
      <c r="G6" s="25">
        <v>2.4481999999999999</v>
      </c>
      <c r="H6" s="25" t="s">
        <v>37</v>
      </c>
    </row>
    <row r="7" spans="1:8" ht="15" x14ac:dyDescent="0.25">
      <c r="A7" s="23" t="s">
        <v>12</v>
      </c>
      <c r="B7" s="16" t="s">
        <v>13</v>
      </c>
      <c r="C7" s="17">
        <v>700000</v>
      </c>
      <c r="D7" s="17">
        <v>90000</v>
      </c>
      <c r="E7" s="27">
        <f t="shared" si="0"/>
        <v>0.12857142857142856</v>
      </c>
      <c r="F7" s="24">
        <v>42056</v>
      </c>
      <c r="G7" s="25">
        <v>2.4481999999999999</v>
      </c>
      <c r="H7" s="25" t="s">
        <v>37</v>
      </c>
    </row>
    <row r="8" spans="1:8" ht="15" x14ac:dyDescent="0.25">
      <c r="A8" s="23" t="s">
        <v>14</v>
      </c>
      <c r="B8" s="16" t="s">
        <v>15</v>
      </c>
      <c r="C8" s="17">
        <v>120000</v>
      </c>
      <c r="D8" s="17">
        <v>0</v>
      </c>
      <c r="E8" s="27">
        <f t="shared" si="0"/>
        <v>0</v>
      </c>
      <c r="F8" s="24">
        <v>42057</v>
      </c>
      <c r="G8" s="25">
        <v>2.4481999999999999</v>
      </c>
      <c r="H8" s="25" t="s">
        <v>37</v>
      </c>
    </row>
    <row r="9" spans="1:8" ht="15" x14ac:dyDescent="0.25">
      <c r="A9" s="23" t="s">
        <v>24</v>
      </c>
      <c r="B9" s="16" t="s">
        <v>25</v>
      </c>
      <c r="C9" s="17">
        <v>200000</v>
      </c>
      <c r="D9" s="17">
        <v>0</v>
      </c>
      <c r="E9" s="27">
        <f t="shared" si="0"/>
        <v>0</v>
      </c>
      <c r="F9" s="24">
        <v>42057</v>
      </c>
      <c r="G9" s="25">
        <v>2.4481999999999999</v>
      </c>
      <c r="H9" s="25" t="s">
        <v>37</v>
      </c>
    </row>
    <row r="10" spans="1:8" ht="15" x14ac:dyDescent="0.25">
      <c r="A10" s="23" t="s">
        <v>30</v>
      </c>
      <c r="B10" s="16" t="s">
        <v>31</v>
      </c>
      <c r="C10" s="17">
        <v>300000</v>
      </c>
      <c r="D10" s="17">
        <v>252338.32</v>
      </c>
      <c r="E10" s="27">
        <f t="shared" si="0"/>
        <v>0.84112773333333335</v>
      </c>
      <c r="F10" s="24">
        <v>42057</v>
      </c>
      <c r="G10" s="25">
        <v>2.4481999999999999</v>
      </c>
      <c r="H10" s="25" t="s">
        <v>37</v>
      </c>
    </row>
    <row r="11" spans="1:8" ht="15" x14ac:dyDescent="0.25">
      <c r="A11" s="23" t="s">
        <v>16</v>
      </c>
      <c r="B11" s="16" t="s">
        <v>17</v>
      </c>
      <c r="C11" s="17">
        <v>286652.02</v>
      </c>
      <c r="D11" s="17">
        <v>0</v>
      </c>
      <c r="E11" s="27">
        <f t="shared" si="0"/>
        <v>0</v>
      </c>
      <c r="F11" s="24">
        <v>42057</v>
      </c>
      <c r="G11" s="25">
        <v>2.4481999999999999</v>
      </c>
      <c r="H11" s="25" t="s">
        <v>37</v>
      </c>
    </row>
    <row r="12" spans="1:8" ht="15" x14ac:dyDescent="0.25">
      <c r="A12" s="23" t="s">
        <v>32</v>
      </c>
      <c r="B12" s="16" t="s">
        <v>33</v>
      </c>
      <c r="C12" s="17">
        <v>258347.98</v>
      </c>
      <c r="D12" s="17">
        <v>216110.67</v>
      </c>
      <c r="E12" s="27">
        <f t="shared" si="0"/>
        <v>0.83651000483920956</v>
      </c>
      <c r="F12" s="24">
        <v>42053</v>
      </c>
      <c r="G12" s="25">
        <v>2.4481999999999999</v>
      </c>
      <c r="H12" s="25" t="s">
        <v>37</v>
      </c>
    </row>
    <row r="13" spans="1:8" ht="15" x14ac:dyDescent="0.25">
      <c r="A13" s="23" t="s">
        <v>18</v>
      </c>
      <c r="B13" s="16" t="s">
        <v>19</v>
      </c>
      <c r="C13" s="17">
        <v>1250000</v>
      </c>
      <c r="D13" s="17">
        <v>225000.57</v>
      </c>
      <c r="E13" s="27">
        <f t="shared" si="0"/>
        <v>0.180000456</v>
      </c>
      <c r="F13" s="24">
        <v>42053</v>
      </c>
      <c r="G13" s="25">
        <v>2.4481999999999999</v>
      </c>
      <c r="H13" s="25" t="s">
        <v>37</v>
      </c>
    </row>
    <row r="14" spans="1:8" ht="15" x14ac:dyDescent="0.25">
      <c r="A14" s="23" t="s">
        <v>20</v>
      </c>
      <c r="B14" s="16" t="s">
        <v>21</v>
      </c>
      <c r="C14" s="17">
        <v>250000</v>
      </c>
      <c r="D14" s="17">
        <v>0</v>
      </c>
      <c r="E14" s="27">
        <f t="shared" si="0"/>
        <v>0</v>
      </c>
      <c r="F14" s="24">
        <v>42057</v>
      </c>
      <c r="G14" s="25">
        <v>2.4481999999999999</v>
      </c>
      <c r="H14" s="25" t="s">
        <v>37</v>
      </c>
    </row>
    <row r="15" spans="1:8" ht="15" x14ac:dyDescent="0.25">
      <c r="A15" s="23" t="s">
        <v>22</v>
      </c>
      <c r="B15" s="16" t="s">
        <v>23</v>
      </c>
      <c r="C15" s="17">
        <v>360000</v>
      </c>
      <c r="D15" s="17">
        <v>0</v>
      </c>
      <c r="E15" s="27">
        <f t="shared" si="0"/>
        <v>0</v>
      </c>
      <c r="F15" s="24">
        <v>42057</v>
      </c>
      <c r="G15" s="25">
        <v>2.4481999999999999</v>
      </c>
      <c r="H15" s="25" t="s">
        <v>37</v>
      </c>
    </row>
    <row r="16" spans="1:8" ht="15" x14ac:dyDescent="0.25">
      <c r="A16" s="23" t="s">
        <v>28</v>
      </c>
      <c r="B16" s="16" t="s">
        <v>29</v>
      </c>
      <c r="C16" s="17">
        <v>240000</v>
      </c>
      <c r="D16" s="17">
        <v>0</v>
      </c>
      <c r="E16" s="27">
        <f t="shared" si="0"/>
        <v>0</v>
      </c>
      <c r="F16" s="24">
        <v>42053</v>
      </c>
      <c r="G16" s="25">
        <v>2.4481999999999999</v>
      </c>
      <c r="H16" s="25" t="s">
        <v>37</v>
      </c>
    </row>
  </sheetData>
  <printOptions horizontalCentered="1"/>
  <pageMargins left="0.5" right="0.5" top="0.6" bottom="0.4" header="0.2" footer="0.1"/>
  <pageSetup paperSize="9" scale="96" fitToHeight="0" orientation="landscape" horizontalDpi="4294967293" r:id="rId1"/>
  <headerFooter>
    <oddHeader>&amp;C&amp;"Verdana,Kalın"&amp;14&amp;UYURT İÇİ KREDİ VE RİSK LİMİTİ</oddHeader>
    <oddFooter>&amp;C&amp;"Tahoma,Normal"&amp;9 damla 
18/02/2015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3">
    <pageSetUpPr fitToPage="1"/>
  </sheetPr>
  <dimension ref="A1:H16"/>
  <sheetViews>
    <sheetView showGridLines="0" showZeros="0" workbookViewId="0">
      <selection activeCell="C16" sqref="C16"/>
    </sheetView>
  </sheetViews>
  <sheetFormatPr defaultColWidth="10.7109375" defaultRowHeight="12" customHeight="1" x14ac:dyDescent="0.25"/>
  <cols>
    <col min="1" max="1" width="15.140625" style="7" customWidth="1"/>
    <col min="2" max="2" width="5.5703125" style="8" customWidth="1"/>
    <col min="3" max="5" width="5.5703125" style="9" customWidth="1"/>
    <col min="6" max="8" width="5.5703125" style="1" customWidth="1"/>
    <col min="9" max="16384" width="10.7109375" style="1"/>
  </cols>
  <sheetData>
    <row r="1" spans="1:8" ht="30" customHeight="1" x14ac:dyDescent="0.25">
      <c r="A1" s="11" t="s">
        <v>0</v>
      </c>
      <c r="B1" s="12" t="s">
        <v>1</v>
      </c>
      <c r="C1" s="13" t="s">
        <v>2</v>
      </c>
      <c r="D1" s="13" t="s">
        <v>3</v>
      </c>
      <c r="E1" s="14" t="s">
        <v>38</v>
      </c>
      <c r="F1" s="14" t="s">
        <v>34</v>
      </c>
      <c r="G1" s="14" t="s">
        <v>35</v>
      </c>
      <c r="H1" s="15" t="s">
        <v>36</v>
      </c>
    </row>
    <row r="2" spans="1:8" ht="12" customHeight="1" x14ac:dyDescent="0.25">
      <c r="A2" s="4" t="s">
        <v>4</v>
      </c>
      <c r="B2" s="2" t="s">
        <v>5</v>
      </c>
      <c r="C2" s="10">
        <v>325000</v>
      </c>
      <c r="D2" s="10">
        <v>0</v>
      </c>
      <c r="E2" s="3">
        <f>IF(D2="",1,D2/C2)</f>
        <v>0</v>
      </c>
      <c r="F2" s="6">
        <v>42053</v>
      </c>
      <c r="G2" s="5">
        <v>2.4481999999999999</v>
      </c>
      <c r="H2" s="5" t="s">
        <v>37</v>
      </c>
    </row>
    <row r="3" spans="1:8" ht="12" customHeight="1" x14ac:dyDescent="0.25">
      <c r="A3" s="4" t="s">
        <v>6</v>
      </c>
      <c r="B3" s="2" t="s">
        <v>7</v>
      </c>
      <c r="C3" s="10">
        <v>300000</v>
      </c>
      <c r="D3" s="10">
        <v>0</v>
      </c>
      <c r="E3" s="3">
        <f t="shared" ref="E3:E16" si="0">IF(D3="",1,D3/C3)</f>
        <v>0</v>
      </c>
      <c r="F3" s="6">
        <v>42053</v>
      </c>
      <c r="G3" s="5">
        <v>2.4481999999999999</v>
      </c>
      <c r="H3" s="5" t="s">
        <v>37</v>
      </c>
    </row>
    <row r="4" spans="1:8" ht="12" customHeight="1" x14ac:dyDescent="0.25">
      <c r="A4" s="4" t="s">
        <v>26</v>
      </c>
      <c r="B4" s="2" t="s">
        <v>27</v>
      </c>
      <c r="C4" s="10">
        <v>175000</v>
      </c>
      <c r="D4" s="10">
        <v>133264.41</v>
      </c>
      <c r="E4" s="3">
        <f t="shared" si="0"/>
        <v>0.76151091428571427</v>
      </c>
      <c r="F4" s="6">
        <v>42053</v>
      </c>
      <c r="G4" s="5">
        <v>2.4481999999999999</v>
      </c>
      <c r="H4" s="5" t="s">
        <v>37</v>
      </c>
    </row>
    <row r="5" spans="1:8" ht="12" customHeight="1" x14ac:dyDescent="0.25">
      <c r="A5" s="4" t="s">
        <v>8</v>
      </c>
      <c r="B5" s="2" t="s">
        <v>9</v>
      </c>
      <c r="C5" s="10">
        <v>494706</v>
      </c>
      <c r="D5" s="10">
        <v>0</v>
      </c>
      <c r="E5" s="3">
        <f t="shared" si="0"/>
        <v>0</v>
      </c>
      <c r="F5" s="6">
        <v>42054</v>
      </c>
      <c r="G5" s="5">
        <v>2.4481999999999999</v>
      </c>
      <c r="H5" s="5" t="s">
        <v>37</v>
      </c>
    </row>
    <row r="6" spans="1:8" ht="12" customHeight="1" x14ac:dyDescent="0.25">
      <c r="A6" s="4" t="s">
        <v>10</v>
      </c>
      <c r="B6" s="2" t="s">
        <v>11</v>
      </c>
      <c r="C6" s="10">
        <v>505294</v>
      </c>
      <c r="D6" s="10">
        <v>417854.79</v>
      </c>
      <c r="E6" s="3">
        <f t="shared" si="0"/>
        <v>0.82695379323720442</v>
      </c>
      <c r="F6" s="6">
        <v>42055</v>
      </c>
      <c r="G6" s="5">
        <v>2.4481999999999999</v>
      </c>
      <c r="H6" s="5" t="s">
        <v>37</v>
      </c>
    </row>
    <row r="7" spans="1:8" ht="12" customHeight="1" x14ac:dyDescent="0.25">
      <c r="A7" s="4" t="s">
        <v>12</v>
      </c>
      <c r="B7" s="2" t="s">
        <v>13</v>
      </c>
      <c r="C7" s="10">
        <v>700000</v>
      </c>
      <c r="D7" s="10">
        <v>90000</v>
      </c>
      <c r="E7" s="3">
        <f t="shared" si="0"/>
        <v>0.12857142857142856</v>
      </c>
      <c r="F7" s="6">
        <v>42056</v>
      </c>
      <c r="G7" s="5">
        <v>2.4481999999999999</v>
      </c>
      <c r="H7" s="5" t="s">
        <v>37</v>
      </c>
    </row>
    <row r="8" spans="1:8" ht="12" customHeight="1" x14ac:dyDescent="0.25">
      <c r="A8" s="4" t="s">
        <v>14</v>
      </c>
      <c r="B8" s="2" t="s">
        <v>15</v>
      </c>
      <c r="C8" s="10">
        <v>120000</v>
      </c>
      <c r="D8" s="10">
        <v>0</v>
      </c>
      <c r="E8" s="3">
        <f t="shared" si="0"/>
        <v>0</v>
      </c>
      <c r="F8" s="6">
        <v>42057</v>
      </c>
      <c r="G8" s="5">
        <v>2.4481999999999999</v>
      </c>
      <c r="H8" s="5" t="s">
        <v>37</v>
      </c>
    </row>
    <row r="9" spans="1:8" ht="12" customHeight="1" x14ac:dyDescent="0.25">
      <c r="A9" s="4" t="s">
        <v>24</v>
      </c>
      <c r="B9" s="2" t="s">
        <v>25</v>
      </c>
      <c r="C9" s="10">
        <v>200000</v>
      </c>
      <c r="D9" s="10">
        <v>0</v>
      </c>
      <c r="E9" s="3">
        <f t="shared" si="0"/>
        <v>0</v>
      </c>
      <c r="F9" s="6">
        <v>42057</v>
      </c>
      <c r="G9" s="5">
        <v>2.4481999999999999</v>
      </c>
      <c r="H9" s="5" t="s">
        <v>37</v>
      </c>
    </row>
    <row r="10" spans="1:8" ht="12" customHeight="1" x14ac:dyDescent="0.25">
      <c r="A10" s="4" t="s">
        <v>30</v>
      </c>
      <c r="B10" s="2" t="s">
        <v>31</v>
      </c>
      <c r="C10" s="10">
        <v>300000</v>
      </c>
      <c r="D10" s="10">
        <v>252338.32</v>
      </c>
      <c r="E10" s="3">
        <f t="shared" si="0"/>
        <v>0.84112773333333335</v>
      </c>
      <c r="F10" s="6">
        <v>42057</v>
      </c>
      <c r="G10" s="5">
        <v>2.4481999999999999</v>
      </c>
      <c r="H10" s="5" t="s">
        <v>37</v>
      </c>
    </row>
    <row r="11" spans="1:8" ht="12" customHeight="1" x14ac:dyDescent="0.25">
      <c r="A11" s="4" t="s">
        <v>16</v>
      </c>
      <c r="B11" s="2" t="s">
        <v>17</v>
      </c>
      <c r="C11" s="10">
        <v>286652.02</v>
      </c>
      <c r="D11" s="10">
        <v>0</v>
      </c>
      <c r="E11" s="3">
        <f t="shared" si="0"/>
        <v>0</v>
      </c>
      <c r="F11" s="6">
        <v>42057</v>
      </c>
      <c r="G11" s="5">
        <v>2.4481999999999999</v>
      </c>
      <c r="H11" s="5" t="s">
        <v>37</v>
      </c>
    </row>
    <row r="12" spans="1:8" ht="12" customHeight="1" x14ac:dyDescent="0.25">
      <c r="A12" s="4" t="s">
        <v>32</v>
      </c>
      <c r="B12" s="2" t="s">
        <v>33</v>
      </c>
      <c r="C12" s="10">
        <v>258347.98</v>
      </c>
      <c r="D12" s="10">
        <v>216110.67</v>
      </c>
      <c r="E12" s="3">
        <f t="shared" si="0"/>
        <v>0.83651000483920956</v>
      </c>
      <c r="F12" s="6">
        <v>42053</v>
      </c>
      <c r="G12" s="5">
        <v>2.4481999999999999</v>
      </c>
      <c r="H12" s="5" t="s">
        <v>37</v>
      </c>
    </row>
    <row r="13" spans="1:8" ht="12" customHeight="1" x14ac:dyDescent="0.25">
      <c r="A13" s="4" t="s">
        <v>18</v>
      </c>
      <c r="B13" s="2" t="s">
        <v>19</v>
      </c>
      <c r="C13" s="10">
        <v>1250000</v>
      </c>
      <c r="D13" s="10">
        <v>225000.57</v>
      </c>
      <c r="E13" s="3">
        <f t="shared" si="0"/>
        <v>0.180000456</v>
      </c>
      <c r="F13" s="6">
        <v>42053</v>
      </c>
      <c r="G13" s="5">
        <v>2.4481999999999999</v>
      </c>
      <c r="H13" s="5" t="s">
        <v>37</v>
      </c>
    </row>
    <row r="14" spans="1:8" ht="12" customHeight="1" x14ac:dyDescent="0.25">
      <c r="A14" s="4" t="s">
        <v>20</v>
      </c>
      <c r="B14" s="2" t="s">
        <v>21</v>
      </c>
      <c r="C14" s="10">
        <v>250000</v>
      </c>
      <c r="D14" s="10">
        <v>0</v>
      </c>
      <c r="E14" s="3">
        <f t="shared" si="0"/>
        <v>0</v>
      </c>
      <c r="F14" s="6">
        <v>42057</v>
      </c>
      <c r="G14" s="5">
        <v>2.4481999999999999</v>
      </c>
      <c r="H14" s="5" t="s">
        <v>37</v>
      </c>
    </row>
    <row r="15" spans="1:8" ht="12" customHeight="1" x14ac:dyDescent="0.25">
      <c r="A15" s="4" t="s">
        <v>22</v>
      </c>
      <c r="B15" s="2" t="s">
        <v>23</v>
      </c>
      <c r="C15" s="10">
        <v>360000</v>
      </c>
      <c r="D15" s="10">
        <v>0</v>
      </c>
      <c r="E15" s="3">
        <f t="shared" si="0"/>
        <v>0</v>
      </c>
      <c r="F15" s="6">
        <v>42057</v>
      </c>
      <c r="G15" s="5">
        <v>2.4481999999999999</v>
      </c>
      <c r="H15" s="5" t="s">
        <v>37</v>
      </c>
    </row>
    <row r="16" spans="1:8" ht="12" customHeight="1" x14ac:dyDescent="0.25">
      <c r="A16" s="4" t="s">
        <v>28</v>
      </c>
      <c r="B16" s="2" t="s">
        <v>29</v>
      </c>
      <c r="C16" s="10">
        <v>240000</v>
      </c>
      <c r="D16" s="10">
        <v>0</v>
      </c>
      <c r="E16" s="3">
        <f t="shared" si="0"/>
        <v>0</v>
      </c>
      <c r="F16" s="6">
        <v>42053</v>
      </c>
      <c r="G16" s="5">
        <v>2.4481999999999999</v>
      </c>
      <c r="H16" s="5" t="s">
        <v>37</v>
      </c>
    </row>
  </sheetData>
  <printOptions horizontalCentered="1"/>
  <pageMargins left="0.5" right="0.5" top="0.6" bottom="0.4" header="0.2" footer="0.1"/>
  <pageSetup paperSize="9" scale="96" fitToHeight="0" orientation="landscape" horizontalDpi="4294967293" r:id="rId1"/>
  <headerFooter>
    <oddHeader>&amp;C&amp;"Verdana,Kalın"&amp;14&amp;UYURT İÇİ KREDİ VE RİSK LİMİTİ</oddHeader>
    <oddFooter>&amp;C&amp;"Tahoma,Normal"&amp;9 damla 
18/02/2015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4">
    <pageSetUpPr fitToPage="1"/>
  </sheetPr>
  <dimension ref="A1:H16"/>
  <sheetViews>
    <sheetView showGridLines="0" showZeros="0" tabSelected="1" workbookViewId="0">
      <selection activeCell="D6" sqref="D6"/>
    </sheetView>
  </sheetViews>
  <sheetFormatPr defaultColWidth="10.7109375" defaultRowHeight="12" customHeight="1" x14ac:dyDescent="0.25"/>
  <cols>
    <col min="1" max="1" width="15.140625" style="7" customWidth="1"/>
    <col min="2" max="2" width="5.5703125" style="8" customWidth="1"/>
    <col min="3" max="5" width="5.5703125" style="9" customWidth="1"/>
    <col min="6" max="8" width="5.5703125" style="1" customWidth="1"/>
    <col min="9" max="16384" width="10.7109375" style="1"/>
  </cols>
  <sheetData>
    <row r="1" spans="1:8" ht="30" customHeight="1" x14ac:dyDescent="0.25">
      <c r="A1" s="11" t="s">
        <v>0</v>
      </c>
      <c r="B1" s="12" t="s">
        <v>1</v>
      </c>
      <c r="C1" s="13" t="s">
        <v>2</v>
      </c>
      <c r="D1" s="13" t="s">
        <v>3</v>
      </c>
      <c r="E1" s="14" t="s">
        <v>38</v>
      </c>
      <c r="F1" s="14" t="s">
        <v>34</v>
      </c>
      <c r="G1" s="14" t="s">
        <v>35</v>
      </c>
      <c r="H1" s="15" t="s">
        <v>36</v>
      </c>
    </row>
    <row r="2" spans="1:8" ht="12" customHeight="1" x14ac:dyDescent="0.25">
      <c r="A2" s="4" t="s">
        <v>4</v>
      </c>
      <c r="B2" s="2" t="s">
        <v>5</v>
      </c>
      <c r="C2" s="10">
        <v>325000</v>
      </c>
      <c r="D2" s="10">
        <v>0</v>
      </c>
      <c r="E2" s="3">
        <f>IF(D2="",1,D2/C2)</f>
        <v>0</v>
      </c>
      <c r="F2" s="6">
        <v>42053</v>
      </c>
      <c r="G2" s="5">
        <v>2.4481999999999999</v>
      </c>
      <c r="H2" s="5" t="s">
        <v>37</v>
      </c>
    </row>
    <row r="3" spans="1:8" ht="12" customHeight="1" x14ac:dyDescent="0.25">
      <c r="A3" s="4" t="s">
        <v>6</v>
      </c>
      <c r="B3" s="2" t="s">
        <v>7</v>
      </c>
      <c r="C3" s="10">
        <v>300000</v>
      </c>
      <c r="D3" s="10">
        <v>0</v>
      </c>
      <c r="E3" s="3">
        <f t="shared" ref="E3:E16" si="0">IF(D3="",1,D3/C3)</f>
        <v>0</v>
      </c>
      <c r="F3" s="6">
        <v>42053</v>
      </c>
      <c r="G3" s="5">
        <v>2.4481999999999999</v>
      </c>
      <c r="H3" s="5" t="s">
        <v>37</v>
      </c>
    </row>
    <row r="4" spans="1:8" ht="12" customHeight="1" x14ac:dyDescent="0.25">
      <c r="A4" s="4" t="s">
        <v>26</v>
      </c>
      <c r="B4" s="2" t="s">
        <v>27</v>
      </c>
      <c r="C4" s="10">
        <v>175000</v>
      </c>
      <c r="D4" s="10">
        <v>133264.41</v>
      </c>
      <c r="E4" s="3">
        <f t="shared" si="0"/>
        <v>0.76151091428571427</v>
      </c>
      <c r="F4" s="6">
        <v>42053</v>
      </c>
      <c r="G4" s="5">
        <v>2.4481999999999999</v>
      </c>
      <c r="H4" s="5" t="s">
        <v>37</v>
      </c>
    </row>
    <row r="5" spans="1:8" ht="12" customHeight="1" x14ac:dyDescent="0.25">
      <c r="A5" s="4" t="s">
        <v>8</v>
      </c>
      <c r="B5" s="2" t="s">
        <v>9</v>
      </c>
      <c r="C5" s="10">
        <v>494706</v>
      </c>
      <c r="D5" s="10">
        <v>0</v>
      </c>
      <c r="E5" s="3">
        <f t="shared" si="0"/>
        <v>0</v>
      </c>
      <c r="F5" s="6">
        <v>42054</v>
      </c>
      <c r="G5" s="5">
        <v>2.4481999999999999</v>
      </c>
      <c r="H5" s="5" t="s">
        <v>37</v>
      </c>
    </row>
    <row r="6" spans="1:8" ht="12" customHeight="1" x14ac:dyDescent="0.25">
      <c r="A6" s="4" t="s">
        <v>10</v>
      </c>
      <c r="B6" s="2" t="s">
        <v>11</v>
      </c>
      <c r="C6" s="10">
        <v>505294</v>
      </c>
      <c r="D6" s="10">
        <v>417854.79</v>
      </c>
      <c r="E6" s="3">
        <f t="shared" si="0"/>
        <v>0.82695379323720442</v>
      </c>
      <c r="F6" s="6">
        <v>42055</v>
      </c>
      <c r="G6" s="5">
        <v>2.4481999999999999</v>
      </c>
      <c r="H6" s="5" t="s">
        <v>37</v>
      </c>
    </row>
    <row r="7" spans="1:8" ht="12" customHeight="1" x14ac:dyDescent="0.25">
      <c r="A7" s="4" t="s">
        <v>12</v>
      </c>
      <c r="B7" s="2" t="s">
        <v>13</v>
      </c>
      <c r="C7" s="10">
        <v>700000</v>
      </c>
      <c r="D7" s="10">
        <v>90000</v>
      </c>
      <c r="E7" s="3">
        <f t="shared" si="0"/>
        <v>0.12857142857142856</v>
      </c>
      <c r="F7" s="6">
        <v>42056</v>
      </c>
      <c r="G7" s="5">
        <v>2.4481999999999999</v>
      </c>
      <c r="H7" s="5" t="s">
        <v>37</v>
      </c>
    </row>
    <row r="8" spans="1:8" ht="12" customHeight="1" x14ac:dyDescent="0.25">
      <c r="A8" s="4" t="s">
        <v>14</v>
      </c>
      <c r="B8" s="2" t="s">
        <v>15</v>
      </c>
      <c r="C8" s="10">
        <v>120000</v>
      </c>
      <c r="D8" s="10">
        <v>0</v>
      </c>
      <c r="E8" s="3">
        <f t="shared" si="0"/>
        <v>0</v>
      </c>
      <c r="F8" s="6">
        <v>42057</v>
      </c>
      <c r="G8" s="5">
        <v>2.4481999999999999</v>
      </c>
      <c r="H8" s="5" t="s">
        <v>37</v>
      </c>
    </row>
    <row r="9" spans="1:8" ht="12" customHeight="1" x14ac:dyDescent="0.25">
      <c r="A9" s="4" t="s">
        <v>24</v>
      </c>
      <c r="B9" s="2" t="s">
        <v>25</v>
      </c>
      <c r="C9" s="10">
        <v>200000</v>
      </c>
      <c r="D9" s="10">
        <v>0</v>
      </c>
      <c r="E9" s="3">
        <f t="shared" si="0"/>
        <v>0</v>
      </c>
      <c r="F9" s="6">
        <v>42057</v>
      </c>
      <c r="G9" s="5">
        <v>2.4481999999999999</v>
      </c>
      <c r="H9" s="5" t="s">
        <v>37</v>
      </c>
    </row>
    <row r="10" spans="1:8" ht="12" customHeight="1" x14ac:dyDescent="0.25">
      <c r="A10" s="4" t="s">
        <v>30</v>
      </c>
      <c r="B10" s="2" t="s">
        <v>31</v>
      </c>
      <c r="C10" s="10">
        <v>300000</v>
      </c>
      <c r="D10" s="10">
        <v>252338.32</v>
      </c>
      <c r="E10" s="3">
        <f t="shared" si="0"/>
        <v>0.84112773333333335</v>
      </c>
      <c r="F10" s="6">
        <v>42057</v>
      </c>
      <c r="G10" s="5">
        <v>2.4481999999999999</v>
      </c>
      <c r="H10" s="5" t="s">
        <v>37</v>
      </c>
    </row>
    <row r="11" spans="1:8" ht="12" customHeight="1" x14ac:dyDescent="0.25">
      <c r="A11" s="4" t="s">
        <v>16</v>
      </c>
      <c r="B11" s="2" t="s">
        <v>17</v>
      </c>
      <c r="C11" s="10">
        <v>286652.02</v>
      </c>
      <c r="D11" s="10">
        <v>0</v>
      </c>
      <c r="E11" s="3">
        <f t="shared" si="0"/>
        <v>0</v>
      </c>
      <c r="F11" s="6">
        <v>42057</v>
      </c>
      <c r="G11" s="5">
        <v>2.4481999999999999</v>
      </c>
      <c r="H11" s="5" t="s">
        <v>37</v>
      </c>
    </row>
    <row r="12" spans="1:8" ht="12" customHeight="1" x14ac:dyDescent="0.25">
      <c r="A12" s="4" t="s">
        <v>32</v>
      </c>
      <c r="B12" s="2" t="s">
        <v>33</v>
      </c>
      <c r="C12" s="10">
        <v>258347.98</v>
      </c>
      <c r="D12" s="10">
        <v>216110.67</v>
      </c>
      <c r="E12" s="3">
        <f t="shared" si="0"/>
        <v>0.83651000483920956</v>
      </c>
      <c r="F12" s="6">
        <v>42053</v>
      </c>
      <c r="G12" s="5">
        <v>2.4481999999999999</v>
      </c>
      <c r="H12" s="5" t="s">
        <v>37</v>
      </c>
    </row>
    <row r="13" spans="1:8" ht="12" customHeight="1" x14ac:dyDescent="0.25">
      <c r="A13" s="4" t="s">
        <v>18</v>
      </c>
      <c r="B13" s="2" t="s">
        <v>19</v>
      </c>
      <c r="C13" s="10">
        <v>1250000</v>
      </c>
      <c r="D13" s="10">
        <v>225000.57</v>
      </c>
      <c r="E13" s="3">
        <f t="shared" si="0"/>
        <v>0.180000456</v>
      </c>
      <c r="F13" s="6">
        <v>42053</v>
      </c>
      <c r="G13" s="5">
        <v>2.4481999999999999</v>
      </c>
      <c r="H13" s="5" t="s">
        <v>37</v>
      </c>
    </row>
    <row r="14" spans="1:8" ht="12" customHeight="1" x14ac:dyDescent="0.25">
      <c r="A14" s="4" t="s">
        <v>20</v>
      </c>
      <c r="B14" s="2" t="s">
        <v>21</v>
      </c>
      <c r="C14" s="10">
        <v>250000</v>
      </c>
      <c r="D14" s="10">
        <v>0</v>
      </c>
      <c r="E14" s="3">
        <f t="shared" si="0"/>
        <v>0</v>
      </c>
      <c r="F14" s="6">
        <v>42057</v>
      </c>
      <c r="G14" s="5">
        <v>2.4481999999999999</v>
      </c>
      <c r="H14" s="5" t="s">
        <v>37</v>
      </c>
    </row>
    <row r="15" spans="1:8" ht="12" customHeight="1" x14ac:dyDescent="0.25">
      <c r="A15" s="4" t="s">
        <v>22</v>
      </c>
      <c r="B15" s="2" t="s">
        <v>23</v>
      </c>
      <c r="C15" s="10">
        <v>360000</v>
      </c>
      <c r="D15" s="10">
        <v>0</v>
      </c>
      <c r="E15" s="3">
        <f t="shared" si="0"/>
        <v>0</v>
      </c>
      <c r="F15" s="6">
        <v>42057</v>
      </c>
      <c r="G15" s="5">
        <v>2.4481999999999999</v>
      </c>
      <c r="H15" s="5" t="s">
        <v>37</v>
      </c>
    </row>
    <row r="16" spans="1:8" ht="12" customHeight="1" x14ac:dyDescent="0.25">
      <c r="A16" s="4" t="s">
        <v>28</v>
      </c>
      <c r="B16" s="2" t="s">
        <v>29</v>
      </c>
      <c r="C16" s="10">
        <v>240000</v>
      </c>
      <c r="D16" s="10">
        <v>0</v>
      </c>
      <c r="E16" s="3">
        <f t="shared" si="0"/>
        <v>0</v>
      </c>
      <c r="F16" s="6">
        <v>42053</v>
      </c>
      <c r="G16" s="5">
        <v>2.4481999999999999</v>
      </c>
      <c r="H16" s="5" t="s">
        <v>37</v>
      </c>
    </row>
  </sheetData>
  <printOptions horizontalCentered="1"/>
  <pageMargins left="0.5" right="0.5" top="0.6" bottom="0.4" header="0.2" footer="0.1"/>
  <pageSetup paperSize="9" scale="96" fitToHeight="0" orientation="landscape" horizontalDpi="4294967293" r:id="rId1"/>
  <headerFooter>
    <oddHeader>&amp;C&amp;"Verdana,Kalın"&amp;14&amp;UYURT İÇİ KREDİ VE RİSK LİMİTİ</oddHeader>
    <oddFooter>&amp;C&amp;"Tahoma,Normal"&amp;9 damla 
18/02/2015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Veriler</vt:lpstr>
      <vt:lpstr>Sayfa1</vt:lpstr>
      <vt:lpstr>Veriler (2)</vt:lpstr>
      <vt:lpstr>Veriler (3)</vt:lpstr>
      <vt:lpstr>Veriler (4)</vt:lpstr>
      <vt:lpstr>Veriler (5)</vt:lpstr>
    </vt:vector>
  </TitlesOfParts>
  <Company>Nebim Neyir Bilgisayar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Moiz Alalu</dc:creator>
  <cp:lastModifiedBy>Vedat Gümüşkuyu</cp:lastModifiedBy>
  <cp:lastPrinted>2014-03-18T09:08:20Z</cp:lastPrinted>
  <dcterms:created xsi:type="dcterms:W3CDTF">2008-05-29T04:38:40Z</dcterms:created>
  <dcterms:modified xsi:type="dcterms:W3CDTF">2025-01-28T12:45:19Z</dcterms:modified>
</cp:coreProperties>
</file>