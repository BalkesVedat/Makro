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D:\Vedat\Eğitimler\Kaynaklar\VBA_makro\Eğitim Materyalleri\VBA materyal\"/>
    </mc:Choice>
  </mc:AlternateContent>
  <xr:revisionPtr revIDLastSave="0" documentId="13_ncr:1_{3C2C98A6-1895-4837-B2C2-679DB98E03B1}" xr6:coauthVersionLast="47" xr6:coauthVersionMax="47" xr10:uidLastSave="{00000000-0000-0000-0000-000000000000}"/>
  <bookViews>
    <workbookView xWindow="28695" yWindow="0" windowWidth="13815" windowHeight="15585" tabRatio="837" activeTab="3" xr2:uid="{00000000-000D-0000-FFFF-FFFF00000000}"/>
  </bookViews>
  <sheets>
    <sheet name="Kümelenmiş Yığılmış" sheetId="10" r:id="rId1"/>
    <sheet name="Çubuk" sheetId="13" r:id="rId2"/>
    <sheet name="Pasta Grafiği" sheetId="3" r:id="rId3"/>
    <sheet name="Sayfa1" sheetId="1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2" i="13"/>
  <c r="C7" i="10" l="1"/>
  <c r="D7" i="10"/>
  <c r="E7" i="10"/>
  <c r="F7" i="10"/>
</calcChain>
</file>

<file path=xl/sharedStrings.xml><?xml version="1.0" encoding="utf-8"?>
<sst xmlns="http://schemas.openxmlformats.org/spreadsheetml/2006/main" count="28" uniqueCount="28">
  <si>
    <t>Toplam</t>
  </si>
  <si>
    <t>1. Çeyrek</t>
  </si>
  <si>
    <t>2. Çeyrek</t>
  </si>
  <si>
    <t>3. Çeyrek</t>
  </si>
  <si>
    <t>4. Çeyrek</t>
  </si>
  <si>
    <t>Oran</t>
  </si>
  <si>
    <t>Personel</t>
  </si>
  <si>
    <t>Kira</t>
  </si>
  <si>
    <t>Gıda</t>
  </si>
  <si>
    <t>Kırtasiye</t>
  </si>
  <si>
    <t>Akaryakıt</t>
  </si>
  <si>
    <t>Temsil</t>
  </si>
  <si>
    <t>Tutar</t>
  </si>
  <si>
    <t>Aidat</t>
  </si>
  <si>
    <t>Ankara</t>
  </si>
  <si>
    <t>Bursa</t>
  </si>
  <si>
    <t>İstanbul</t>
  </si>
  <si>
    <t>Denizli</t>
  </si>
  <si>
    <t>Satış Bölgesi</t>
  </si>
  <si>
    <t>Giderler Kalemi</t>
  </si>
  <si>
    <t>Araç Tamir</t>
  </si>
  <si>
    <t>Kavanoz</t>
  </si>
  <si>
    <t>Şişe</t>
  </si>
  <si>
    <t>Tabak</t>
  </si>
  <si>
    <t>Çaydanlık</t>
  </si>
  <si>
    <t>Stoktaki Ürün</t>
  </si>
  <si>
    <t>Stok Adedi</t>
  </si>
  <si>
    <t>Satılan Adet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</si>
</sst>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T_L_-;\-* #,##0.00\ _T_L_-;_-* &quot;-&quot;??\ _T_L_-;_-@_-"/>
    <numFmt numFmtId="165" formatCode="_-* #,##0\ _T_L_-;\-* #,##0\ _T_L_-;_-* &quot;-&quot;??\ _T_L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4">
    <xf numFmtId="0" fontId="0" fillId="0" borderId="0" xfId="0"/>
    <xf numFmtId="165" fontId="5" fillId="0" borderId="1" xfId="1" applyNumberFormat="1" applyFont="1" applyFill="1" applyBorder="1"/>
    <xf numFmtId="0" fontId="4" fillId="2" borderId="1" xfId="0" applyFont="1" applyFill="1" applyBorder="1" applyAlignment="1">
      <alignment horizontal="center"/>
    </xf>
    <xf numFmtId="0" fontId="5" fillId="0" borderId="1" xfId="0" applyFont="1" applyBorder="1"/>
    <xf numFmtId="0" fontId="2" fillId="2" borderId="2" xfId="0" applyFont="1" applyFill="1" applyBorder="1"/>
    <xf numFmtId="165" fontId="2" fillId="2" borderId="2" xfId="1" applyNumberFormat="1" applyFont="1" applyFill="1" applyBorder="1" applyAlignment="1">
      <alignment horizontal="center"/>
    </xf>
    <xf numFmtId="0" fontId="0" fillId="0" borderId="2" xfId="0" applyBorder="1"/>
    <xf numFmtId="165" fontId="0" fillId="0" borderId="2" xfId="1" applyNumberFormat="1" applyFont="1" applyFill="1" applyBorder="1" applyAlignment="1">
      <alignment horizontal="center"/>
    </xf>
    <xf numFmtId="0" fontId="2" fillId="0" borderId="2" xfId="0" applyFont="1" applyBorder="1"/>
    <xf numFmtId="165" fontId="2" fillId="0" borderId="2" xfId="1" applyNumberFormat="1" applyFont="1" applyFill="1" applyBorder="1"/>
    <xf numFmtId="0" fontId="0" fillId="0" borderId="3" xfId="0" applyBorder="1"/>
    <xf numFmtId="0" fontId="6" fillId="0" borderId="3" xfId="0" applyFont="1" applyBorder="1" applyAlignment="1">
      <alignment horizontal="left" vertical="top"/>
    </xf>
    <xf numFmtId="3" fontId="6" fillId="0" borderId="0" xfId="0" applyNumberFormat="1" applyFont="1" applyAlignment="1">
      <alignment horizontal="right" vertical="top"/>
    </xf>
    <xf numFmtId="9" fontId="0" fillId="0" borderId="0" xfId="2" applyFont="1"/>
  </cellXfs>
  <cellStyles count="3">
    <cellStyle name="Normal" xfId="0" builtinId="0"/>
    <cellStyle name="Virgül" xfId="1" builtinId="3"/>
    <cellStyle name="Yüzd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'Kümelenmiş Yığılmış'!$C$2</c:f>
              <c:strCache>
                <c:ptCount val="1"/>
                <c:pt idx="0">
                  <c:v> 1. Çeyrek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'Kümelenmiş Yığılmış'!$B$3:$B$7</c:f>
              <c:strCache>
                <c:ptCount val="5"/>
                <c:pt idx="0">
                  <c:v>Ankara</c:v>
                </c:pt>
                <c:pt idx="1">
                  <c:v>Bursa</c:v>
                </c:pt>
                <c:pt idx="2">
                  <c:v>Denizli</c:v>
                </c:pt>
                <c:pt idx="3">
                  <c:v>İstanbul</c:v>
                </c:pt>
                <c:pt idx="4">
                  <c:v>Toplam</c:v>
                </c:pt>
              </c:strCache>
            </c:strRef>
          </c:cat>
          <c:val>
            <c:numRef>
              <c:f>'Kümelenmiş Yığılmış'!$C$3:$C$7</c:f>
              <c:numCache>
                <c:formatCode>_-* #,##0\ _T_L_-;\-* #,##0\ _T_L_-;_-* "-"??\ _T_L_-;_-@_-</c:formatCode>
                <c:ptCount val="5"/>
                <c:pt idx="0">
                  <c:v>1823661</c:v>
                </c:pt>
                <c:pt idx="1">
                  <c:v>1085269</c:v>
                </c:pt>
                <c:pt idx="2">
                  <c:v>1039772</c:v>
                </c:pt>
                <c:pt idx="3">
                  <c:v>1227281</c:v>
                </c:pt>
                <c:pt idx="4">
                  <c:v>5175983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A-4A5D-B3C9-6DA05691E1B5}"/>
            </c:ext>
          </c:extLst>
        </c:ser>
        <c:ser>
          <c:idx val="1"/>
          <c:order val="1"/>
          <c:tx>
            <c:strRef>
              <c:f>'Kümelenmiş Yığılmış'!$D$2</c:f>
              <c:strCache>
                <c:ptCount val="1"/>
                <c:pt idx="0">
                  <c:v> 2. Çeyrek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'Kümelenmiş Yığılmış'!$B$3:$B$7</c:f>
              <c:strCache>
                <c:ptCount val="5"/>
                <c:pt idx="0">
                  <c:v>Ankara</c:v>
                </c:pt>
                <c:pt idx="1">
                  <c:v>Bursa</c:v>
                </c:pt>
                <c:pt idx="2">
                  <c:v>Denizli</c:v>
                </c:pt>
                <c:pt idx="3">
                  <c:v>İstanbul</c:v>
                </c:pt>
                <c:pt idx="4">
                  <c:v>Toplam</c:v>
                </c:pt>
              </c:strCache>
            </c:strRef>
          </c:cat>
          <c:val>
            <c:numRef>
              <c:f>'Kümelenmiş Yığılmış'!$D$3:$D$7</c:f>
              <c:numCache>
                <c:formatCode>_-* #,##0\ _T_L_-;\-* #,##0\ _T_L_-;_-* "-"??\ _T_L_-;_-@_-</c:formatCode>
                <c:ptCount val="5"/>
                <c:pt idx="0">
                  <c:v>1885744</c:v>
                </c:pt>
                <c:pt idx="1">
                  <c:v>1711867</c:v>
                </c:pt>
                <c:pt idx="2">
                  <c:v>1899414</c:v>
                </c:pt>
                <c:pt idx="3">
                  <c:v>1966597</c:v>
                </c:pt>
                <c:pt idx="4">
                  <c:v>7463622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A-4A5D-B3C9-6DA05691E1B5}"/>
            </c:ext>
          </c:extLst>
        </c:ser>
        <c:ser>
          <c:idx val="2"/>
          <c:order val="2"/>
          <c:tx>
            <c:strRef>
              <c:f>'Kümelenmiş Yığılmış'!$E$2</c:f>
              <c:strCache>
                <c:ptCount val="1"/>
                <c:pt idx="0">
                  <c:v> 3. Çeyrek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'Kümelenmiş Yığılmış'!$B$3:$B$7</c:f>
              <c:strCache>
                <c:ptCount val="5"/>
                <c:pt idx="0">
                  <c:v>Ankara</c:v>
                </c:pt>
                <c:pt idx="1">
                  <c:v>Bursa</c:v>
                </c:pt>
                <c:pt idx="2">
                  <c:v>Denizli</c:v>
                </c:pt>
                <c:pt idx="3">
                  <c:v>İstanbul</c:v>
                </c:pt>
                <c:pt idx="4">
                  <c:v>Toplam</c:v>
                </c:pt>
              </c:strCache>
            </c:strRef>
          </c:cat>
          <c:val>
            <c:numRef>
              <c:f>'Kümelenmiş Yığılmış'!$E$3:$E$7</c:f>
              <c:numCache>
                <c:formatCode>_-* #,##0\ _T_L_-;\-* #,##0\ _T_L_-;_-* "-"??\ _T_L_-;_-@_-</c:formatCode>
                <c:ptCount val="5"/>
                <c:pt idx="0">
                  <c:v>1465081</c:v>
                </c:pt>
                <c:pt idx="1">
                  <c:v>1100288</c:v>
                </c:pt>
                <c:pt idx="2">
                  <c:v>1730446</c:v>
                </c:pt>
                <c:pt idx="3">
                  <c:v>1893164</c:v>
                </c:pt>
                <c:pt idx="4">
                  <c:v>6188979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A-4A5D-B3C9-6DA05691E1B5}"/>
            </c:ext>
          </c:extLst>
        </c:ser>
        <c:ser>
          <c:idx val="3"/>
          <c:order val="3"/>
          <c:tx>
            <c:strRef>
              <c:f>'Kümelenmiş Yığılmış'!$F$2</c:f>
              <c:strCache>
                <c:ptCount val="1"/>
                <c:pt idx="0">
                  <c:v> 4. Çeyrek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'Kümelenmiş Yığılmış'!$B$3:$B$7</c:f>
              <c:strCache>
                <c:ptCount val="5"/>
                <c:pt idx="0">
                  <c:v>Ankara</c:v>
                </c:pt>
                <c:pt idx="1">
                  <c:v>Bursa</c:v>
                </c:pt>
                <c:pt idx="2">
                  <c:v>Denizli</c:v>
                </c:pt>
                <c:pt idx="3">
                  <c:v>İstanbul</c:v>
                </c:pt>
                <c:pt idx="4">
                  <c:v>Toplam</c:v>
                </c:pt>
              </c:strCache>
            </c:strRef>
          </c:cat>
          <c:val>
            <c:numRef>
              <c:f>'Kümelenmiş Yığılmış'!$F$3:$F$7</c:f>
              <c:numCache>
                <c:formatCode>_-* #,##0\ _T_L_-;\-* #,##0\ _T_L_-;_-* "-"??\ _T_L_-;_-@_-</c:formatCode>
                <c:ptCount val="5"/>
                <c:pt idx="0">
                  <c:v>1604910</c:v>
                </c:pt>
                <c:pt idx="1">
                  <c:v>1876416</c:v>
                </c:pt>
                <c:pt idx="2">
                  <c:v>1615418</c:v>
                </c:pt>
                <c:pt idx="3">
                  <c:v>1262185</c:v>
                </c:pt>
                <c:pt idx="4">
                  <c:v>6358929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A-4A5D-B3C9-6DA05691E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82603696"/>
        <c:axId val="382583536"/>
        <c:axId val="0"/>
      </c:bar3DChart>
      <c:catAx>
        <c:axId val="38260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82583536"/>
        <c:crosses val="autoZero"/>
        <c:auto val="1"/>
        <c:lblAlgn val="ctr"/>
        <c:lblOffset val="100"/>
        <c:noMultiLvlLbl val="0"/>
      </c:catAx>
      <c:valAx>
        <c:axId val="38258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_T_L_-;\-* #,##0\ _T_L_-;_-* &quot;-&quot;??\ _T_L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8260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Çubuk!$B$1</c:f>
              <c:strCache>
                <c:ptCount val="1"/>
                <c:pt idx="0">
                  <c:v>Stok Adedi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Çubuk!$A$2:$A$5</c:f>
              <c:strCache>
                <c:ptCount val="4"/>
                <c:pt idx="0">
                  <c:v>Şişe</c:v>
                </c:pt>
                <c:pt idx="1">
                  <c:v>Kavanoz</c:v>
                </c:pt>
                <c:pt idx="2">
                  <c:v>Tabak</c:v>
                </c:pt>
                <c:pt idx="3">
                  <c:v>Çaydanlık</c:v>
                </c:pt>
              </c:strCache>
            </c:strRef>
          </c:cat>
          <c:val>
            <c:numRef>
              <c:f>Çubuk!$B$2:$B$5</c:f>
              <c:numCache>
                <c:formatCode>#,##0</c:formatCode>
                <c:ptCount val="4"/>
                <c:pt idx="0">
                  <c:v>15235581</c:v>
                </c:pt>
                <c:pt idx="1">
                  <c:v>6400000</c:v>
                </c:pt>
                <c:pt idx="2">
                  <c:v>13530800</c:v>
                </c:pt>
                <c:pt idx="3">
                  <c:v>75331540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20-448C-B175-A34685B220A1}"/>
            </c:ext>
          </c:extLst>
        </c:ser>
        <c:ser>
          <c:idx val="1"/>
          <c:order val="1"/>
          <c:tx>
            <c:strRef>
              <c:f>Çubuk!$C$1</c:f>
              <c:strCache>
                <c:ptCount val="1"/>
                <c:pt idx="0">
                  <c:v>Satılan Adet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Çubuk!$A$2:$A$5</c:f>
              <c:strCache>
                <c:ptCount val="4"/>
                <c:pt idx="0">
                  <c:v>Şişe</c:v>
                </c:pt>
                <c:pt idx="1">
                  <c:v>Kavanoz</c:v>
                </c:pt>
                <c:pt idx="2">
                  <c:v>Tabak</c:v>
                </c:pt>
                <c:pt idx="3">
                  <c:v>Çaydanlık</c:v>
                </c:pt>
              </c:strCache>
            </c:strRef>
          </c:cat>
          <c:val>
            <c:numRef>
              <c:f>Çubuk!$C$2:$C$5</c:f>
              <c:numCache>
                <c:formatCode>#,##0</c:formatCode>
                <c:ptCount val="4"/>
                <c:pt idx="0">
                  <c:v>4962419</c:v>
                </c:pt>
                <c:pt idx="1">
                  <c:v>5281864</c:v>
                </c:pt>
                <c:pt idx="2">
                  <c:v>4175288</c:v>
                </c:pt>
                <c:pt idx="3">
                  <c:v>59574651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20-448C-B175-A34685B220A1}"/>
            </c:ext>
          </c:extLst>
        </c:ser>
        <c:ser>
          <c:idx val="2"/>
          <c:order val="2"/>
          <c:tx>
            <c:strRef>
              <c:f>Çubuk!$D$1</c:f>
              <c:strCache>
                <c:ptCount val="1"/>
                <c:pt idx="0">
                  <c:v>Oran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Çubuk!$A$2:$A$5</c:f>
              <c:strCache>
                <c:ptCount val="4"/>
                <c:pt idx="0">
                  <c:v>Şişe</c:v>
                </c:pt>
                <c:pt idx="1">
                  <c:v>Kavanoz</c:v>
                </c:pt>
                <c:pt idx="2">
                  <c:v>Tabak</c:v>
                </c:pt>
                <c:pt idx="3">
                  <c:v>Çaydanlık</c:v>
                </c:pt>
              </c:strCache>
            </c:strRef>
          </c:cat>
          <c:val>
            <c:numRef>
              <c:f>Çubuk!$D$2:$D$5</c:f>
              <c:numCache>
                <c:formatCode>0%</c:formatCode>
                <c:ptCount val="4"/>
                <c:pt idx="0">
                  <c:v>0.32571248841773742</c:v>
                </c:pt>
                <c:pt idx="1">
                  <c:v>0.82529125000000003</c:v>
                </c:pt>
                <c:pt idx="2">
                  <c:v>0.30857658083779227</c:v>
                </c:pt>
                <c:pt idx="3">
                  <c:v>0.79083277734664659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20-448C-B175-A34685B22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82585456"/>
        <c:axId val="382585936"/>
        <c:axId val="0"/>
      </c:bar3DChart>
      <c:catAx>
        <c:axId val="3825854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82585936"/>
        <c:crosses val="autoZero"/>
        <c:auto val="1"/>
        <c:lblAlgn val="ctr"/>
        <c:lblOffset val="100"/>
        <c:noMultiLvlLbl val="0"/>
      </c:catAx>
      <c:valAx>
        <c:axId val="38258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8258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'Pasta Grafiği'!$E$5</c:f>
              <c:strCache>
                <c:ptCount val="1"/>
                <c:pt idx="0">
                  <c:v>Tutar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'Pasta Grafiği'!$D$6:$D$13</c:f>
              <c:strCache>
                <c:ptCount val="8"/>
                <c:pt idx="0">
                  <c:v>Personel</c:v>
                </c:pt>
                <c:pt idx="1">
                  <c:v>Kira</c:v>
                </c:pt>
                <c:pt idx="2">
                  <c:v>Aidat</c:v>
                </c:pt>
                <c:pt idx="3">
                  <c:v>Temsil</c:v>
                </c:pt>
                <c:pt idx="4">
                  <c:v>Gıda</c:v>
                </c:pt>
                <c:pt idx="5">
                  <c:v>Kırtasiye</c:v>
                </c:pt>
                <c:pt idx="6">
                  <c:v>Akaryakıt</c:v>
                </c:pt>
                <c:pt idx="7">
                  <c:v>Araç Tamir</c:v>
                </c:pt>
              </c:strCache>
            </c:strRef>
          </c:cat>
          <c:val>
            <c:numRef>
              <c:f>'Pasta Grafiği'!$E$6:$E$13</c:f>
              <c:numCache>
                <c:formatCode>_-* #,##0\ _T_L_-;\-* #,##0\ _T_L_-;_-* "-"??\ _T_L_-;_-@_-</c:formatCode>
                <c:ptCount val="8"/>
                <c:pt idx="0">
                  <c:v>150000</c:v>
                </c:pt>
                <c:pt idx="1">
                  <c:v>46500</c:v>
                </c:pt>
                <c:pt idx="2">
                  <c:v>6250</c:v>
                </c:pt>
                <c:pt idx="3">
                  <c:v>7600</c:v>
                </c:pt>
                <c:pt idx="4">
                  <c:v>21436</c:v>
                </c:pt>
                <c:pt idx="5">
                  <c:v>27988</c:v>
                </c:pt>
                <c:pt idx="6">
                  <c:v>26882</c:v>
                </c:pt>
                <c:pt idx="7">
                  <c:v>45850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9-4073-88C0-1A5BBE683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647700</xdr:colOff>
      <xdr:row>10</xdr:row>
      <xdr:rowOff>66675</xdr:rowOff>
    </xdr:from>
    <xdr:to>
      <xdr:col>7</xdr:col>
      <xdr:colOff>457200</xdr:colOff>
      <xdr:row>24</xdr:row>
      <xdr:rowOff>142875</xdr:rowOff>
    </xdr:to>
    <xdr:graphicFrame macro="">
      <xdr:nvGraphicFramePr>
        <xdr:cNvPr id="7" name="Grafik 6">
          <a:extLst>
            <a:ext uri="{FF2B5EF4-FFF2-40B4-BE49-F238E27FC236}">
              <a16:creationId xmlns:a16="http://schemas.microsoft.com/office/drawing/2014/main" id="{31501F41-519E-2A64-19C4-CBF95FE23D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10</xdr:row>
      <xdr:rowOff>66675</xdr:rowOff>
    </xdr:from>
    <xdr:to>
      <xdr:col>10</xdr:col>
      <xdr:colOff>19050</xdr:colOff>
      <xdr:row>24</xdr:row>
      <xdr:rowOff>142875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7D97AC8D-9C79-B969-3931-A6BD4A1B8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9</xdr:row>
      <xdr:rowOff>19050</xdr:rowOff>
    </xdr:from>
    <xdr:to>
      <xdr:col>8</xdr:col>
      <xdr:colOff>314325</xdr:colOff>
      <xdr:row>22</xdr:row>
      <xdr:rowOff>95250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285A048E-FCCC-E128-8615-626F85EA5A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B2:F7"/>
  <sheetViews>
    <sheetView workbookViewId="0">
      <selection activeCell="B2" sqref="B2:F7"/>
    </sheetView>
  </sheetViews>
  <sheetFormatPr defaultColWidth="9.140625" defaultRowHeight="15" x14ac:dyDescent="0.25"/>
  <cols>
    <col min="2" max="2" width="11.85546875" bestFit="1" customWidth="1"/>
    <col min="3" max="6" width="15.5703125" bestFit="1" customWidth="1"/>
  </cols>
  <sheetData>
    <row r="2" spans="2:6" x14ac:dyDescent="0.25">
      <c r="B2" s="4" t="s">
        <v>18</v>
      </c>
      <c r="C2" s="5" t="s">
        <v>1</v>
      </c>
      <c r="D2" s="5" t="s">
        <v>2</v>
      </c>
      <c r="E2" s="5" t="s">
        <v>3</v>
      </c>
      <c r="F2" s="5" t="s">
        <v>4</v>
      </c>
    </row>
    <row r="3" spans="2:6" x14ac:dyDescent="0.25">
      <c r="B3" s="6" t="s">
        <v>14</v>
      </c>
      <c r="C3" s="7">
        <v>1823661</v>
      </c>
      <c r="D3" s="7">
        <v>1885744</v>
      </c>
      <c r="E3" s="7">
        <v>1465081</v>
      </c>
      <c r="F3" s="7">
        <v>1604910</v>
      </c>
    </row>
    <row r="4" spans="2:6" x14ac:dyDescent="0.25">
      <c r="B4" s="6" t="s">
        <v>15</v>
      </c>
      <c r="C4" s="7">
        <v>1085269</v>
      </c>
      <c r="D4" s="7">
        <v>1711867</v>
      </c>
      <c r="E4" s="7">
        <v>1100288</v>
      </c>
      <c r="F4" s="7">
        <v>1876416</v>
      </c>
    </row>
    <row r="5" spans="2:6" x14ac:dyDescent="0.25">
      <c r="B5" s="6" t="s">
        <v>17</v>
      </c>
      <c r="C5" s="7">
        <v>1039772</v>
      </c>
      <c r="D5" s="7">
        <v>1899414</v>
      </c>
      <c r="E5" s="7">
        <v>1730446</v>
      </c>
      <c r="F5" s="7">
        <v>1615418</v>
      </c>
    </row>
    <row r="6" spans="2:6" x14ac:dyDescent="0.25">
      <c r="B6" s="6" t="s">
        <v>16</v>
      </c>
      <c r="C6" s="7">
        <v>1227281</v>
      </c>
      <c r="D6" s="7">
        <v>1966597</v>
      </c>
      <c r="E6" s="7">
        <v>1893164</v>
      </c>
      <c r="F6" s="7">
        <v>1262185</v>
      </c>
    </row>
    <row r="7" spans="2:6" x14ac:dyDescent="0.25">
      <c r="B7" s="8" t="s">
        <v>0</v>
      </c>
      <c r="C7" s="9">
        <f>SUM(C3:C6)</f>
        <v>5175983</v>
      </c>
      <c r="D7" s="9">
        <f>SUM(D3:D6)</f>
        <v>7463622</v>
      </c>
      <c r="E7" s="9">
        <f>SUM(E3:E6)</f>
        <v>6188979</v>
      </c>
      <c r="F7" s="9">
        <f>SUM(F3:F6)</f>
        <v>6358929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D5"/>
  <sheetViews>
    <sheetView workbookViewId="0">
      <selection sqref="A1:D5"/>
    </sheetView>
  </sheetViews>
  <sheetFormatPr defaultRowHeight="15" x14ac:dyDescent="0.25"/>
  <cols>
    <col min="1" max="1" width="12.85546875" bestFit="1" customWidth="1"/>
    <col min="2" max="2" width="10.5703125" bestFit="1" customWidth="1"/>
    <col min="3" max="3" width="11.5703125" bestFit="1" customWidth="1"/>
  </cols>
  <sheetData>
    <row r="1" spans="1:4" x14ac:dyDescent="0.25">
      <c r="A1" s="10" t="s">
        <v>25</v>
      </c>
      <c r="B1" t="s">
        <v>26</v>
      </c>
      <c r="C1" t="s">
        <v>27</v>
      </c>
      <c r="D1" t="s">
        <v>5</v>
      </c>
    </row>
    <row r="2" spans="1:4" x14ac:dyDescent="0.25">
      <c r="A2" s="11" t="s">
        <v>22</v>
      </c>
      <c r="B2" s="12">
        <v>15235581</v>
      </c>
      <c r="C2" s="12">
        <v>4962419</v>
      </c>
      <c r="D2" s="13">
        <f>C2/B2</f>
        <v>0.32571248841773742</v>
      </c>
    </row>
    <row r="3" spans="1:4" x14ac:dyDescent="0.25">
      <c r="A3" s="11" t="s">
        <v>21</v>
      </c>
      <c r="B3" s="12">
        <v>6400000</v>
      </c>
      <c r="C3" s="12">
        <v>5281864</v>
      </c>
      <c r="D3" s="13">
        <f t="shared" ref="D3:D5" si="0">C3/B3</f>
        <v>0.82529125000000003</v>
      </c>
    </row>
    <row r="4" spans="1:4" x14ac:dyDescent="0.25">
      <c r="A4" s="11" t="s">
        <v>23</v>
      </c>
      <c r="B4" s="12">
        <v>13530800</v>
      </c>
      <c r="C4" s="12">
        <v>4175288</v>
      </c>
      <c r="D4" s="13">
        <f t="shared" si="0"/>
        <v>0.30857658083779227</v>
      </c>
    </row>
    <row r="5" spans="1:4" x14ac:dyDescent="0.25">
      <c r="A5" s="11" t="s">
        <v>24</v>
      </c>
      <c r="B5" s="12">
        <v>75331540</v>
      </c>
      <c r="C5" s="12">
        <v>59574651</v>
      </c>
      <c r="D5" s="13">
        <f t="shared" si="0"/>
        <v>0.79083277734664659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D5:E13"/>
  <sheetViews>
    <sheetView showGridLines="0" workbookViewId="0">
      <selection activeCell="D5" sqref="D5:E13"/>
    </sheetView>
  </sheetViews>
  <sheetFormatPr defaultRowHeight="15" x14ac:dyDescent="0.25"/>
  <cols>
    <col min="4" max="4" width="20.28515625" customWidth="1"/>
    <col min="5" max="5" width="19.42578125" customWidth="1"/>
  </cols>
  <sheetData>
    <row r="5" spans="4:5" ht="18.75" x14ac:dyDescent="0.3">
      <c r="D5" s="2" t="s">
        <v>19</v>
      </c>
      <c r="E5" s="2" t="s">
        <v>12</v>
      </c>
    </row>
    <row r="6" spans="4:5" ht="18.75" x14ac:dyDescent="0.3">
      <c r="D6" s="3" t="s">
        <v>6</v>
      </c>
      <c r="E6" s="1">
        <v>150000</v>
      </c>
    </row>
    <row r="7" spans="4:5" ht="18.75" x14ac:dyDescent="0.3">
      <c r="D7" s="3" t="s">
        <v>7</v>
      </c>
      <c r="E7" s="1">
        <v>46500</v>
      </c>
    </row>
    <row r="8" spans="4:5" ht="18.75" x14ac:dyDescent="0.3">
      <c r="D8" s="3" t="s">
        <v>13</v>
      </c>
      <c r="E8" s="1">
        <v>6250</v>
      </c>
    </row>
    <row r="9" spans="4:5" ht="18.75" x14ac:dyDescent="0.3">
      <c r="D9" s="3" t="s">
        <v>11</v>
      </c>
      <c r="E9" s="1">
        <v>7600</v>
      </c>
    </row>
    <row r="10" spans="4:5" ht="18.75" x14ac:dyDescent="0.3">
      <c r="D10" s="3" t="s">
        <v>8</v>
      </c>
      <c r="E10" s="1">
        <v>21436</v>
      </c>
    </row>
    <row r="11" spans="4:5" ht="18.75" x14ac:dyDescent="0.3">
      <c r="D11" s="3" t="s">
        <v>9</v>
      </c>
      <c r="E11" s="1">
        <v>27988</v>
      </c>
    </row>
    <row r="12" spans="4:5" ht="18.75" x14ac:dyDescent="0.3">
      <c r="D12" s="3" t="s">
        <v>10</v>
      </c>
      <c r="E12" s="1">
        <v>26882</v>
      </c>
    </row>
    <row r="13" spans="4:5" ht="18.75" x14ac:dyDescent="0.3">
      <c r="D13" s="3" t="s">
        <v>20</v>
      </c>
      <c r="E13" s="1">
        <v>45850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193C-C256-42B3-9F81-92F7D3C869FB}">
  <sheetPr codeName="Sayfa4"/>
  <dimension ref="A1"/>
  <sheetViews>
    <sheetView tabSelected="1" workbookViewId="0">
      <selection activeCell="J2" sqref="J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Kümelenmiş Yığılmış</vt:lpstr>
      <vt:lpstr>Çubuk</vt:lpstr>
      <vt:lpstr>Pasta Grafiği</vt:lpstr>
      <vt:lpstr>Sayfa1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amacara</dc:creator>
  <cp:lastModifiedBy>Vedat Gümüşkuyu</cp:lastModifiedBy>
  <dcterms:created xsi:type="dcterms:W3CDTF">2011-01-20T22:45:28Z</dcterms:created>
  <dcterms:modified xsi:type="dcterms:W3CDTF">2025-02-06T13:34:26Z</dcterms:modified>
</cp:coreProperties>
</file>