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macara\Desktop\Excel VBA Yeni\"/>
    </mc:Choice>
  </mc:AlternateContent>
  <bookViews>
    <workbookView xWindow="348" yWindow="276" windowWidth="15132" windowHeight="8208"/>
  </bookViews>
  <sheets>
    <sheet name="Örnek Rapor" sheetId="1" r:id="rId1"/>
    <sheet name="Veriler" sheetId="2" r:id="rId2"/>
  </sheets>
  <definedNames>
    <definedName name="Limit">#REF!</definedName>
  </definedNames>
  <calcPr calcId="152511"/>
</workbook>
</file>

<file path=xl/calcChain.xml><?xml version="1.0" encoding="utf-8"?>
<calcChain xmlns="http://schemas.openxmlformats.org/spreadsheetml/2006/main">
  <c r="F32" i="1" l="1"/>
  <c r="D17" i="1"/>
  <c r="F43" i="1"/>
  <c r="F42" i="1"/>
  <c r="F41" i="1"/>
  <c r="F40" i="1"/>
  <c r="F38" i="1"/>
  <c r="F37" i="1"/>
  <c r="F36" i="1"/>
  <c r="F35" i="1"/>
  <c r="F33" i="1"/>
  <c r="C44" i="1"/>
  <c r="F44" i="1" s="1"/>
  <c r="C39" i="1"/>
  <c r="F39" i="1" s="1"/>
  <c r="C34" i="1"/>
  <c r="F34" i="1" s="1"/>
  <c r="G29" i="1"/>
  <c r="E29" i="1"/>
  <c r="F28" i="1"/>
  <c r="D28" i="1"/>
  <c r="C28" i="1"/>
  <c r="G28" i="1" s="1"/>
  <c r="G18" i="1"/>
  <c r="E18" i="1"/>
  <c r="F17" i="1"/>
  <c r="C17" i="1"/>
  <c r="G17" i="1" s="1"/>
  <c r="E17" i="1" l="1"/>
  <c r="E28" i="1"/>
</calcChain>
</file>

<file path=xl/sharedStrings.xml><?xml version="1.0" encoding="utf-8"?>
<sst xmlns="http://schemas.openxmlformats.org/spreadsheetml/2006/main" count="331" uniqueCount="82">
  <si>
    <t>Hesap Kodu</t>
  </si>
  <si>
    <t>Açıklama</t>
  </si>
  <si>
    <t>Kredi Limiti</t>
  </si>
  <si>
    <t>Risk</t>
  </si>
  <si>
    <t>Risk Yüzdesi</t>
  </si>
  <si>
    <t>Kalan Limit</t>
  </si>
  <si>
    <t>Kalan Yüzdesi</t>
  </si>
  <si>
    <t>300AKİ</t>
  </si>
  <si>
    <t>AKBANK İSKONTO KREDİLERİ</t>
  </si>
  <si>
    <t>300AKS</t>
  </si>
  <si>
    <t>AKBANK SPOT KREDİLERİ</t>
  </si>
  <si>
    <t>300ANİ</t>
  </si>
  <si>
    <t>ANADOLUBANK İSKONTO KREDİLERİ</t>
  </si>
  <si>
    <t>300ANT</t>
  </si>
  <si>
    <t>ANADOLUBANK TAKSİTLİ KREDİLER</t>
  </si>
  <si>
    <t>300GRİ</t>
  </si>
  <si>
    <t>GARANTİ İSKONTO KREDİLERİ</t>
  </si>
  <si>
    <t>300GRK</t>
  </si>
  <si>
    <t>GARANTİ KMH KREDİLER</t>
  </si>
  <si>
    <t>300KVİ</t>
  </si>
  <si>
    <t>KUVEYTTÜRK İSKONTO KREDİLERİ</t>
  </si>
  <si>
    <t>300VKİ</t>
  </si>
  <si>
    <t>VAKIFBANK İSKONTO KREDİLERİ</t>
  </si>
  <si>
    <t>300VKR</t>
  </si>
  <si>
    <t>VAKIFBANK ROTATİF KREDİLER</t>
  </si>
  <si>
    <t>300YKİ</t>
  </si>
  <si>
    <t>YAPIKREDİ İSKONTO KREDİLERİ</t>
  </si>
  <si>
    <t>T.GARANTİ BANKASI A.S.</t>
  </si>
  <si>
    <t>ANADOLUBANK A.S.</t>
  </si>
  <si>
    <t>9005B</t>
  </si>
  <si>
    <t>USD AKBANK L/C DOSYALARI</t>
  </si>
  <si>
    <t>9005A</t>
  </si>
  <si>
    <t>USD ANADOLUBANK L/C DOSYALARI</t>
  </si>
  <si>
    <t>9005G</t>
  </si>
  <si>
    <t>T.GARANTİ BANKASI A.S. L/C DOSYALARI USD</t>
  </si>
  <si>
    <t>USD</t>
  </si>
  <si>
    <t>AKREDİTİF TOPLAMI USD</t>
  </si>
  <si>
    <t>HALK BANKASI</t>
  </si>
  <si>
    <t>TL HALK BANKASI TEMİNAT MEKTUPLARI</t>
  </si>
  <si>
    <t>TL T.GARANTİ BANKASI A.S. TEMİNAT MEKTUPLARI</t>
  </si>
  <si>
    <t>EURO HALK BANKASI TEMİNAT MEKTUPLARI</t>
  </si>
  <si>
    <t>EURO T.GARANTİ BANKASI A.S. TEMİNAT MEKTUPLARI</t>
  </si>
  <si>
    <t>USD HALK BANKASI TEMİNAT MEKTUPLARI</t>
  </si>
  <si>
    <t>AKBANK T.A.S.</t>
  </si>
  <si>
    <t>USD AKBANK T.A.S. TEMİNAT MEKTUPLARI</t>
  </si>
  <si>
    <t>USD T.GARANTİ BANKASI A.S. TEMİNAT MEKTUPLARI</t>
  </si>
  <si>
    <t>TEMİNAT MEKTUPLARI TOPLAM</t>
  </si>
  <si>
    <t>TC ZIRAAT BANKASI</t>
  </si>
  <si>
    <t>USD TC ZIRAAT BANKASI TEMİNAT MEKTUPLARI</t>
  </si>
  <si>
    <t>9005z</t>
  </si>
  <si>
    <t>ZİRAAT BANKASI A.S. L/C DOSYALARI USD</t>
  </si>
  <si>
    <t>9005K</t>
  </si>
  <si>
    <t>KUVEYTTÜRK BANKASI A.S. L/C DOSYALARI USD</t>
  </si>
  <si>
    <t>T.IŞ BANKASI A.S.</t>
  </si>
  <si>
    <t>EURO T.IŞ BANKASI A.S. TEMİNAT MEKTUPLARI</t>
  </si>
  <si>
    <t>300ISR</t>
  </si>
  <si>
    <t>İŞ BANKASI ROTATİF KREDİLER</t>
  </si>
  <si>
    <t>EURO ANADOLUBANK A.S. TEMİNAT MEKTUPLARI</t>
  </si>
  <si>
    <t>9005İ</t>
  </si>
  <si>
    <t>İŞBANKASI L/C DOSYALARI USD</t>
  </si>
  <si>
    <t>300AKT</t>
  </si>
  <si>
    <t>AKBANK TAKSİTLİ KREDİLER</t>
  </si>
  <si>
    <t>300YKR</t>
  </si>
  <si>
    <t>YAPIKREDİ ROTATİF KREDİLER</t>
  </si>
  <si>
    <t>300IST</t>
  </si>
  <si>
    <t>İŞ BANKASI TAKSİTLİ KREDİLER</t>
  </si>
  <si>
    <t>300KVT</t>
  </si>
  <si>
    <t>KUVEYTTÜRK TAKSİTLİ KREDİLER</t>
  </si>
  <si>
    <t>Merkez Bankası USD Alış Kuru : 2.4482</t>
  </si>
  <si>
    <t>TL  (Kur: 2.4482)</t>
  </si>
  <si>
    <t>EUR  (Kur: 1.1394)</t>
  </si>
  <si>
    <t>Tarih: 18 Şubat 2015 Çarşamba</t>
  </si>
  <si>
    <t>Para Birimi</t>
  </si>
  <si>
    <t>Usd</t>
  </si>
  <si>
    <t>Tarih</t>
  </si>
  <si>
    <t>Kur Usd</t>
  </si>
  <si>
    <t>İşlem Türü</t>
  </si>
  <si>
    <t>Kredi</t>
  </si>
  <si>
    <t>Akreditif</t>
  </si>
  <si>
    <t>Teminat Mektupları</t>
  </si>
  <si>
    <t>Tl</t>
  </si>
  <si>
    <t>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</si>
</sst>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$-409]#,##0.00"/>
    <numFmt numFmtId="165" formatCode="[$€-2]#,##0.00"/>
    <numFmt numFmtId="166" formatCode="[$$-2]#,##0.00"/>
  </numFmts>
  <fonts count="8" x14ac:knownFonts="1">
    <font>
      <sz val="11"/>
      <color theme="1"/>
      <name val="Calibri"/>
      <family val="2"/>
      <charset val="162"/>
      <scheme val="minor"/>
    </font>
    <font>
      <sz val="11"/>
      <color indexed="8"/>
      <name val="Calibri"/>
      <family val="2"/>
      <charset val="162"/>
    </font>
    <font>
      <sz val="8"/>
      <name val="Calibri"/>
      <family val="2"/>
      <charset val="162"/>
    </font>
    <font>
      <sz val="8"/>
      <color indexed="9"/>
      <name val="Verdana"/>
      <family val="2"/>
      <charset val="162"/>
    </font>
    <font>
      <b/>
      <sz val="11"/>
      <color theme="1"/>
      <name val="Calibri"/>
      <family val="2"/>
      <charset val="162"/>
      <scheme val="minor"/>
    </font>
    <font>
      <sz val="11"/>
      <color indexed="9"/>
      <name val="Calibri"/>
      <family val="2"/>
      <charset val="162"/>
      <scheme val="minor"/>
    </font>
    <font>
      <sz val="8"/>
      <color theme="1"/>
      <name val="Verdana"/>
      <family val="2"/>
      <charset val="162"/>
    </font>
    <font>
      <b/>
      <sz val="8"/>
      <color theme="1"/>
      <name val="Verdana"/>
      <family val="2"/>
      <charset val="162"/>
    </font>
  </fonts>
  <fills count="4">
    <fill>
      <patternFill patternType="none"/>
    </fill>
    <fill>
      <patternFill patternType="gray125"/>
    </fill>
    <fill>
      <patternFill patternType="solid">
        <fgColor rgb="FF215867"/>
        <bgColor indexed="64"/>
      </patternFill>
    </fill>
    <fill>
      <patternFill patternType="solid">
        <fgColor rgb="FFD7E4BC"/>
        <bgColor indexed="64"/>
      </patternFill>
    </fill>
  </fills>
  <borders count="9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/>
      <top style="thin">
        <color indexed="22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7">
    <xf numFmtId="0" fontId="0" fillId="0" borderId="0" xfId="0"/>
    <xf numFmtId="0" fontId="0" fillId="0" borderId="0" xfId="0" applyAlignment="1">
      <alignment vertical="center"/>
    </xf>
    <xf numFmtId="49" fontId="0" fillId="0" borderId="0" xfId="0" applyNumberFormat="1" applyAlignment="1">
      <alignment vertical="center"/>
    </xf>
    <xf numFmtId="4" fontId="0" fillId="0" borderId="0" xfId="0" applyNumberFormat="1" applyAlignment="1">
      <alignment horizontal="right" vertical="center"/>
    </xf>
    <xf numFmtId="10" fontId="0" fillId="0" borderId="0" xfId="0" applyNumberFormat="1" applyAlignment="1">
      <alignment horizontal="right" vertical="center"/>
    </xf>
    <xf numFmtId="164" fontId="0" fillId="0" borderId="0" xfId="0" applyNumberFormat="1" applyAlignment="1">
      <alignment vertical="center"/>
    </xf>
    <xf numFmtId="49" fontId="5" fillId="2" borderId="2" xfId="0" applyNumberFormat="1" applyFont="1" applyFill="1" applyBorder="1" applyAlignment="1">
      <alignment vertical="center" wrapText="1"/>
    </xf>
    <xf numFmtId="49" fontId="0" fillId="0" borderId="3" xfId="0" applyNumberFormat="1" applyBorder="1" applyAlignment="1">
      <alignment vertical="center"/>
    </xf>
    <xf numFmtId="10" fontId="5" fillId="2" borderId="4" xfId="0" applyNumberFormat="1" applyFont="1" applyFill="1" applyBorder="1" applyAlignment="1">
      <alignment horizontal="right" vertical="center"/>
    </xf>
    <xf numFmtId="49" fontId="0" fillId="3" borderId="3" xfId="0" applyNumberFormat="1" applyFill="1" applyBorder="1" applyAlignment="1">
      <alignment vertical="center"/>
    </xf>
    <xf numFmtId="49" fontId="5" fillId="2" borderId="5" xfId="0" applyNumberFormat="1" applyFont="1" applyFill="1" applyBorder="1" applyAlignment="1">
      <alignment vertical="center"/>
    </xf>
    <xf numFmtId="4" fontId="5" fillId="2" borderId="4" xfId="0" applyNumberFormat="1" applyFont="1" applyFill="1" applyBorder="1" applyAlignment="1">
      <alignment horizontal="right" vertical="center"/>
    </xf>
    <xf numFmtId="0" fontId="0" fillId="0" borderId="0" xfId="0" applyAlignment="1">
      <alignment horizontal="left" vertical="center"/>
    </xf>
    <xf numFmtId="49" fontId="0" fillId="0" borderId="5" xfId="0" applyNumberFormat="1" applyBorder="1" applyAlignment="1">
      <alignment vertical="center"/>
    </xf>
    <xf numFmtId="166" fontId="5" fillId="2" borderId="4" xfId="0" applyNumberFormat="1" applyFont="1" applyFill="1" applyBorder="1" applyAlignment="1">
      <alignment horizontal="right" vertical="center"/>
    </xf>
    <xf numFmtId="0" fontId="5" fillId="2" borderId="4" xfId="0" applyFont="1" applyFill="1" applyBorder="1" applyAlignment="1">
      <alignment horizontal="left" vertical="center"/>
    </xf>
    <xf numFmtId="0" fontId="3" fillId="2" borderId="6" xfId="0" applyFont="1" applyFill="1" applyBorder="1" applyAlignment="1">
      <alignment horizontal="left" vertical="center" wrapText="1"/>
    </xf>
    <xf numFmtId="4" fontId="3" fillId="2" borderId="6" xfId="0" applyNumberFormat="1" applyFont="1" applyFill="1" applyBorder="1" applyAlignment="1">
      <alignment horizontal="right" vertical="center" wrapText="1"/>
    </xf>
    <xf numFmtId="10" fontId="3" fillId="2" borderId="6" xfId="0" applyNumberFormat="1" applyFont="1" applyFill="1" applyBorder="1" applyAlignment="1">
      <alignment horizontal="right" vertical="center" wrapText="1"/>
    </xf>
    <xf numFmtId="0" fontId="6" fillId="0" borderId="1" xfId="0" applyFont="1" applyBorder="1" applyAlignment="1">
      <alignment horizontal="left" vertical="center"/>
    </xf>
    <xf numFmtId="4" fontId="6" fillId="0" borderId="1" xfId="0" applyNumberFormat="1" applyFont="1" applyBorder="1" applyAlignment="1">
      <alignment horizontal="right" vertical="center"/>
    </xf>
    <xf numFmtId="10" fontId="6" fillId="0" borderId="1" xfId="0" applyNumberFormat="1" applyFont="1" applyBorder="1" applyAlignment="1">
      <alignment horizontal="right" vertical="center"/>
    </xf>
    <xf numFmtId="4" fontId="3" fillId="2" borderId="1" xfId="0" applyNumberFormat="1" applyFont="1" applyFill="1" applyBorder="1" applyAlignment="1">
      <alignment horizontal="right" vertical="center"/>
    </xf>
    <xf numFmtId="10" fontId="3" fillId="2" borderId="1" xfId="0" applyNumberFormat="1" applyFont="1" applyFill="1" applyBorder="1" applyAlignment="1">
      <alignment horizontal="right" vertical="center"/>
    </xf>
    <xf numFmtId="164" fontId="3" fillId="2" borderId="4" xfId="0" applyNumberFormat="1" applyFont="1" applyFill="1" applyBorder="1" applyAlignment="1">
      <alignment horizontal="right" vertical="center"/>
    </xf>
    <xf numFmtId="10" fontId="3" fillId="2" borderId="4" xfId="0" applyNumberFormat="1" applyFont="1" applyFill="1" applyBorder="1" applyAlignment="1">
      <alignment horizontal="right" vertical="center"/>
    </xf>
    <xf numFmtId="0" fontId="6" fillId="0" borderId="0" xfId="0" applyFont="1" applyAlignment="1">
      <alignment horizontal="left" vertical="center"/>
    </xf>
    <xf numFmtId="4" fontId="6" fillId="0" borderId="0" xfId="0" applyNumberFormat="1" applyFont="1" applyAlignment="1">
      <alignment horizontal="right" vertical="center"/>
    </xf>
    <xf numFmtId="10" fontId="6" fillId="0" borderId="0" xfId="0" applyNumberFormat="1" applyFont="1" applyAlignment="1">
      <alignment horizontal="right" vertical="center"/>
    </xf>
    <xf numFmtId="0" fontId="6" fillId="3" borderId="1" xfId="0" applyFont="1" applyFill="1" applyBorder="1" applyAlignment="1">
      <alignment horizontal="left" vertical="center"/>
    </xf>
    <xf numFmtId="10" fontId="6" fillId="3" borderId="1" xfId="0" applyNumberFormat="1" applyFont="1" applyFill="1" applyBorder="1" applyAlignment="1">
      <alignment horizontal="right" vertical="center"/>
    </xf>
    <xf numFmtId="4" fontId="3" fillId="2" borderId="4" xfId="0" applyNumberFormat="1" applyFont="1" applyFill="1" applyBorder="1" applyAlignment="1">
      <alignment horizontal="right" vertical="center"/>
    </xf>
    <xf numFmtId="164" fontId="6" fillId="0" borderId="1" xfId="0" applyNumberFormat="1" applyFont="1" applyBorder="1" applyAlignment="1">
      <alignment horizontal="right" vertical="center"/>
    </xf>
    <xf numFmtId="0" fontId="6" fillId="0" borderId="4" xfId="0" applyFont="1" applyBorder="1" applyAlignment="1">
      <alignment horizontal="left" vertical="center"/>
    </xf>
    <xf numFmtId="164" fontId="6" fillId="0" borderId="4" xfId="0" applyNumberFormat="1" applyFont="1" applyBorder="1" applyAlignment="1">
      <alignment horizontal="right" vertical="center"/>
    </xf>
    <xf numFmtId="10" fontId="6" fillId="0" borderId="4" xfId="0" applyNumberFormat="1" applyFont="1" applyBorder="1" applyAlignment="1">
      <alignment horizontal="right" vertical="center"/>
    </xf>
    <xf numFmtId="164" fontId="6" fillId="3" borderId="1" xfId="0" applyNumberFormat="1" applyFont="1" applyFill="1" applyBorder="1" applyAlignment="1">
      <alignment horizontal="right" vertical="center"/>
    </xf>
    <xf numFmtId="4" fontId="6" fillId="0" borderId="1" xfId="0" applyNumberFormat="1" applyFont="1" applyBorder="1" applyAlignment="1">
      <alignment horizontal="left" vertical="center"/>
    </xf>
    <xf numFmtId="166" fontId="6" fillId="3" borderId="1" xfId="0" applyNumberFormat="1" applyFont="1" applyFill="1" applyBorder="1" applyAlignment="1">
      <alignment horizontal="right" vertical="center"/>
    </xf>
    <xf numFmtId="165" fontId="6" fillId="0" borderId="1" xfId="0" applyNumberFormat="1" applyFont="1" applyBorder="1" applyAlignment="1">
      <alignment horizontal="right" vertical="center"/>
    </xf>
    <xf numFmtId="165" fontId="6" fillId="3" borderId="1" xfId="0" applyNumberFormat="1" applyFont="1" applyFill="1" applyBorder="1" applyAlignment="1">
      <alignment horizontal="right" vertical="center"/>
    </xf>
    <xf numFmtId="166" fontId="6" fillId="0" borderId="1" xfId="0" applyNumberFormat="1" applyFont="1" applyBorder="1" applyAlignment="1">
      <alignment horizontal="right" vertical="center"/>
    </xf>
    <xf numFmtId="0" fontId="6" fillId="0" borderId="1" xfId="0" applyFont="1" applyFill="1" applyBorder="1" applyAlignment="1">
      <alignment horizontal="left" vertical="center"/>
    </xf>
    <xf numFmtId="4" fontId="6" fillId="0" borderId="1" xfId="0" applyNumberFormat="1" applyFont="1" applyFill="1" applyBorder="1" applyAlignment="1">
      <alignment horizontal="right" vertical="center"/>
    </xf>
    <xf numFmtId="164" fontId="6" fillId="0" borderId="1" xfId="0" applyNumberFormat="1" applyFont="1" applyFill="1" applyBorder="1" applyAlignment="1">
      <alignment horizontal="right" vertical="center"/>
    </xf>
    <xf numFmtId="4" fontId="6" fillId="0" borderId="1" xfId="0" applyNumberFormat="1" applyFont="1" applyFill="1" applyBorder="1" applyAlignment="1">
      <alignment horizontal="left" vertical="center"/>
    </xf>
    <xf numFmtId="165" fontId="6" fillId="0" borderId="1" xfId="0" applyNumberFormat="1" applyFont="1" applyFill="1" applyBorder="1" applyAlignment="1">
      <alignment horizontal="right" vertical="center"/>
    </xf>
    <xf numFmtId="166" fontId="6" fillId="0" borderId="1" xfId="0" applyNumberFormat="1" applyFont="1" applyFill="1" applyBorder="1" applyAlignment="1">
      <alignment horizontal="right" vertical="center"/>
    </xf>
    <xf numFmtId="49" fontId="0" fillId="0" borderId="1" xfId="0" applyNumberFormat="1" applyFont="1" applyFill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14" fontId="0" fillId="0" borderId="1" xfId="0" applyNumberFormat="1" applyFont="1" applyFill="1" applyBorder="1" applyAlignment="1">
      <alignment vertical="center"/>
    </xf>
    <xf numFmtId="49" fontId="0" fillId="0" borderId="0" xfId="0" applyNumberFormat="1" applyFont="1" applyFill="1" applyAlignment="1">
      <alignment vertical="center"/>
    </xf>
    <xf numFmtId="0" fontId="0" fillId="0" borderId="0" xfId="0" applyFont="1" applyFill="1" applyAlignment="1">
      <alignment horizontal="left" vertical="center"/>
    </xf>
    <xf numFmtId="4" fontId="0" fillId="0" borderId="0" xfId="0" applyNumberFormat="1" applyFont="1" applyFill="1" applyAlignment="1">
      <alignment horizontal="right" vertical="center"/>
    </xf>
    <xf numFmtId="0" fontId="0" fillId="0" borderId="0" xfId="0" applyFont="1" applyFill="1" applyAlignment="1">
      <alignment vertical="center"/>
    </xf>
    <xf numFmtId="49" fontId="4" fillId="0" borderId="2" xfId="0" applyNumberFormat="1" applyFont="1" applyFill="1" applyBorder="1" applyAlignment="1">
      <alignment vertical="center" wrapText="1"/>
    </xf>
    <xf numFmtId="0" fontId="7" fillId="0" borderId="6" xfId="0" applyFont="1" applyFill="1" applyBorder="1" applyAlignment="1">
      <alignment horizontal="left" vertical="center" wrapText="1"/>
    </xf>
    <xf numFmtId="4" fontId="7" fillId="0" borderId="6" xfId="0" applyNumberFormat="1" applyFont="1" applyFill="1" applyBorder="1" applyAlignment="1">
      <alignment horizontal="right" vertical="center" wrapText="1"/>
    </xf>
    <xf numFmtId="4" fontId="7" fillId="0" borderId="7" xfId="0" applyNumberFormat="1" applyFont="1" applyFill="1" applyBorder="1" applyAlignment="1">
      <alignment horizontal="right" vertical="center" wrapText="1"/>
    </xf>
    <xf numFmtId="9" fontId="0" fillId="0" borderId="0" xfId="1" applyFont="1" applyAlignment="1">
      <alignment vertical="center"/>
    </xf>
    <xf numFmtId="4" fontId="7" fillId="0" borderId="1" xfId="0" applyNumberFormat="1" applyFont="1" applyFill="1" applyBorder="1" applyAlignment="1">
      <alignment horizontal="right" vertical="center" wrapText="1"/>
    </xf>
    <xf numFmtId="164" fontId="5" fillId="2" borderId="5" xfId="0" applyNumberFormat="1" applyFont="1" applyFill="1" applyBorder="1" applyAlignment="1">
      <alignment vertical="center"/>
    </xf>
    <xf numFmtId="164" fontId="3" fillId="2" borderId="4" xfId="0" applyNumberFormat="1" applyFont="1" applyFill="1" applyBorder="1" applyAlignment="1">
      <alignment vertical="center"/>
    </xf>
    <xf numFmtId="49" fontId="5" fillId="2" borderId="3" xfId="0" applyNumberFormat="1" applyFont="1" applyFill="1" applyBorder="1" applyAlignment="1">
      <alignment vertical="center"/>
    </xf>
    <xf numFmtId="49" fontId="3" fillId="2" borderId="1" xfId="0" applyNumberFormat="1" applyFont="1" applyFill="1" applyBorder="1" applyAlignment="1">
      <alignment vertical="center"/>
    </xf>
    <xf numFmtId="49" fontId="5" fillId="2" borderId="8" xfId="0" applyNumberFormat="1" applyFont="1" applyFill="1" applyBorder="1" applyAlignment="1">
      <alignment vertical="center"/>
    </xf>
    <xf numFmtId="49" fontId="3" fillId="2" borderId="5" xfId="0" applyNumberFormat="1" applyFont="1" applyFill="1" applyBorder="1" applyAlignment="1">
      <alignment vertical="center"/>
    </xf>
  </cellXfs>
  <cellStyles count="2">
    <cellStyle name="Normal" xfId="0" builtinId="0"/>
    <cellStyle name="Yüzde" xfId="1" builtinId="5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16</xdr:row>
      <xdr:rowOff>66675</xdr:rowOff>
    </xdr:from>
    <xdr:to>
      <xdr:col>13</xdr:col>
      <xdr:colOff>638175</xdr:colOff>
      <xdr:row>22</xdr:row>
      <xdr:rowOff>142875</xdr:rowOff>
    </xdr:to>
    <xdr:sp macro="" textlink="">
      <xdr:nvSpPr>
        <xdr:cNvPr id="2" name="TextBox 1"/>
        <xdr:cNvSpPr txBox="1"/>
      </xdr:nvSpPr>
      <xdr:spPr>
        <a:xfrm>
          <a:off x="9001125" y="2733675"/>
          <a:ext cx="4943475" cy="137160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100"/>
            <a:t>Veriler </a:t>
          </a:r>
          <a:r>
            <a:rPr lang="tr-TR" sz="1100" baseline="0"/>
            <a:t>sayfasındaki verileri kullanarak Örnek  Rapor  hazırlanmak istenmektedir.</a:t>
          </a:r>
        </a:p>
        <a:p>
          <a:r>
            <a:rPr lang="tr-TR" sz="1100" b="1" baseline="0">
              <a:solidFill>
                <a:srgbClr val="0070C0"/>
              </a:solidFill>
            </a:rPr>
            <a:t>Tarih girildikten sonra Rapor Oluştur düğmesine tıklanmaktadır.</a:t>
          </a:r>
        </a:p>
        <a:p>
          <a:r>
            <a:rPr lang="tr-TR" sz="1100" b="1" baseline="0">
              <a:solidFill>
                <a:srgbClr val="0070C0"/>
              </a:solidFill>
            </a:rPr>
            <a:t>Ardından Örnek Rapor oluşmaktadır.</a:t>
          </a:r>
        </a:p>
        <a:p>
          <a:r>
            <a:rPr lang="tr-TR" sz="1100" b="1" baseline="0">
              <a:solidFill>
                <a:srgbClr val="0070C0"/>
              </a:solidFill>
            </a:rPr>
            <a:t>Kapat düğmesi dosyayı kapatmaktadır.</a:t>
          </a:r>
        </a:p>
        <a:p>
          <a:endParaRPr lang="tr-TR" sz="1100" baseline="0"/>
        </a:p>
        <a:p>
          <a:endParaRPr lang="tr-TR" sz="1100" baseline="0"/>
        </a:p>
        <a:p>
          <a:endParaRPr lang="tr-TR" sz="1100" baseline="0"/>
        </a:p>
        <a:p>
          <a:endParaRPr lang="tr-TR" sz="1100"/>
        </a:p>
      </xdr:txBody>
    </xdr:sp>
    <xdr:clientData/>
  </xdr:twoCellAnchor>
  <xdr:twoCellAnchor editAs="oneCell">
    <xdr:from>
      <xdr:col>7</xdr:col>
      <xdr:colOff>152400</xdr:colOff>
      <xdr:row>1</xdr:row>
      <xdr:rowOff>57150</xdr:rowOff>
    </xdr:from>
    <xdr:to>
      <xdr:col>12</xdr:col>
      <xdr:colOff>200025</xdr:colOff>
      <xdr:row>15</xdr:row>
      <xdr:rowOff>133350</xdr:rowOff>
    </xdr:to>
    <xdr:pic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6356" t="8175" r="63121" b="69515"/>
        <a:stretch/>
      </xdr:blipFill>
      <xdr:spPr>
        <a:xfrm>
          <a:off x="9039225" y="438150"/>
          <a:ext cx="3752850" cy="2209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I45"/>
  <sheetViews>
    <sheetView showGridLines="0" showZeros="0" tabSelected="1" workbookViewId="0">
      <selection activeCell="B12" sqref="B12"/>
    </sheetView>
  </sheetViews>
  <sheetFormatPr defaultColWidth="10.6640625" defaultRowHeight="12" customHeight="1" x14ac:dyDescent="0.3"/>
  <cols>
    <col min="1" max="1" width="29" style="2" bestFit="1" customWidth="1"/>
    <col min="2" max="2" width="47.5546875" style="12" bestFit="1" customWidth="1"/>
    <col min="3" max="4" width="12.6640625" style="3" bestFit="1" customWidth="1"/>
    <col min="5" max="5" width="7.33203125" style="4" bestFit="1" customWidth="1"/>
    <col min="6" max="6" width="12.6640625" style="3" bestFit="1" customWidth="1"/>
    <col min="7" max="7" width="11.33203125" style="4" customWidth="1"/>
    <col min="8" max="8" width="10.6640625" style="1"/>
    <col min="9" max="9" width="12.6640625" style="1" bestFit="1" customWidth="1"/>
    <col min="10" max="16384" width="10.6640625" style="1"/>
  </cols>
  <sheetData>
    <row r="1" spans="1:9" ht="30" customHeight="1" x14ac:dyDescent="0.3">
      <c r="A1" s="6" t="s">
        <v>0</v>
      </c>
      <c r="B1" s="16" t="s">
        <v>1</v>
      </c>
      <c r="C1" s="17" t="s">
        <v>2</v>
      </c>
      <c r="D1" s="17" t="s">
        <v>3</v>
      </c>
      <c r="E1" s="18" t="s">
        <v>4</v>
      </c>
      <c r="F1" s="17" t="s">
        <v>5</v>
      </c>
      <c r="G1" s="18" t="s">
        <v>6</v>
      </c>
    </row>
    <row r="2" spans="1:9" ht="12" customHeight="1" x14ac:dyDescent="0.3">
      <c r="A2" s="7" t="s">
        <v>7</v>
      </c>
      <c r="B2" s="19" t="s">
        <v>8</v>
      </c>
      <c r="C2" s="20">
        <v>325000</v>
      </c>
      <c r="D2" s="20">
        <v>0</v>
      </c>
      <c r="E2" s="21">
        <v>0</v>
      </c>
      <c r="F2" s="20">
        <v>325000</v>
      </c>
      <c r="G2" s="21">
        <v>1</v>
      </c>
    </row>
    <row r="3" spans="1:9" ht="12" customHeight="1" x14ac:dyDescent="0.3">
      <c r="A3" s="7" t="s">
        <v>9</v>
      </c>
      <c r="B3" s="19" t="s">
        <v>10</v>
      </c>
      <c r="C3" s="20">
        <v>300000</v>
      </c>
      <c r="D3" s="20">
        <v>0</v>
      </c>
      <c r="E3" s="21">
        <v>0</v>
      </c>
      <c r="F3" s="20">
        <v>300000</v>
      </c>
      <c r="G3" s="21">
        <v>1</v>
      </c>
    </row>
    <row r="4" spans="1:9" ht="12" customHeight="1" x14ac:dyDescent="0.3">
      <c r="A4" s="7" t="s">
        <v>60</v>
      </c>
      <c r="B4" s="19" t="s">
        <v>61</v>
      </c>
      <c r="C4" s="20">
        <v>175000</v>
      </c>
      <c r="D4" s="20">
        <v>133264.41</v>
      </c>
      <c r="E4" s="21">
        <v>0.76151000000000002</v>
      </c>
      <c r="F4" s="20">
        <v>41735.589999999997</v>
      </c>
      <c r="G4" s="21">
        <v>0.23848900000000001</v>
      </c>
      <c r="I4" s="59"/>
    </row>
    <row r="5" spans="1:9" ht="12" customHeight="1" x14ac:dyDescent="0.3">
      <c r="A5" s="7" t="s">
        <v>11</v>
      </c>
      <c r="B5" s="19" t="s">
        <v>12</v>
      </c>
      <c r="C5" s="20">
        <v>494706</v>
      </c>
      <c r="D5" s="20">
        <v>0</v>
      </c>
      <c r="E5" s="21">
        <v>0</v>
      </c>
      <c r="F5" s="20">
        <v>494706</v>
      </c>
      <c r="G5" s="21">
        <v>1</v>
      </c>
    </row>
    <row r="6" spans="1:9" ht="12" customHeight="1" x14ac:dyDescent="0.3">
      <c r="A6" s="7" t="s">
        <v>13</v>
      </c>
      <c r="B6" s="19" t="s">
        <v>14</v>
      </c>
      <c r="C6" s="20">
        <v>505294</v>
      </c>
      <c r="D6" s="20">
        <v>417854.79</v>
      </c>
      <c r="E6" s="21">
        <v>0.82695300000000005</v>
      </c>
      <c r="F6" s="20">
        <v>87439.21</v>
      </c>
      <c r="G6" s="21">
        <v>0.17304600000000001</v>
      </c>
    </row>
    <row r="7" spans="1:9" ht="12" customHeight="1" x14ac:dyDescent="0.3">
      <c r="A7" s="7" t="s">
        <v>15</v>
      </c>
      <c r="B7" s="19" t="s">
        <v>16</v>
      </c>
      <c r="C7" s="20">
        <v>700000</v>
      </c>
      <c r="D7" s="20">
        <v>90000</v>
      </c>
      <c r="E7" s="21">
        <v>0.12857099999999999</v>
      </c>
      <c r="F7" s="20">
        <v>610000</v>
      </c>
      <c r="G7" s="21">
        <v>0.87142799999999998</v>
      </c>
    </row>
    <row r="8" spans="1:9" ht="12" customHeight="1" x14ac:dyDescent="0.3">
      <c r="A8" s="7" t="s">
        <v>17</v>
      </c>
      <c r="B8" s="19" t="s">
        <v>18</v>
      </c>
      <c r="C8" s="20">
        <v>120000</v>
      </c>
      <c r="D8" s="20">
        <v>0</v>
      </c>
      <c r="E8" s="21">
        <v>0</v>
      </c>
      <c r="F8" s="20">
        <v>120000</v>
      </c>
      <c r="G8" s="21">
        <v>1</v>
      </c>
    </row>
    <row r="9" spans="1:9" ht="12" customHeight="1" x14ac:dyDescent="0.3">
      <c r="A9" s="7" t="s">
        <v>55</v>
      </c>
      <c r="B9" s="19" t="s">
        <v>56</v>
      </c>
      <c r="C9" s="20">
        <v>200000</v>
      </c>
      <c r="D9" s="20">
        <v>0</v>
      </c>
      <c r="E9" s="21">
        <v>0</v>
      </c>
      <c r="F9" s="20">
        <v>200000</v>
      </c>
      <c r="G9" s="21">
        <v>1</v>
      </c>
    </row>
    <row r="10" spans="1:9" ht="12" customHeight="1" x14ac:dyDescent="0.3">
      <c r="A10" s="7" t="s">
        <v>64</v>
      </c>
      <c r="B10" s="19" t="s">
        <v>65</v>
      </c>
      <c r="C10" s="20">
        <v>300000</v>
      </c>
      <c r="D10" s="20">
        <v>252338.32</v>
      </c>
      <c r="E10" s="21">
        <v>0.84112699999999996</v>
      </c>
      <c r="F10" s="20">
        <v>47661.68</v>
      </c>
      <c r="G10" s="21">
        <v>0.15887200000000001</v>
      </c>
    </row>
    <row r="11" spans="1:9" ht="12" customHeight="1" x14ac:dyDescent="0.3">
      <c r="A11" s="7" t="s">
        <v>19</v>
      </c>
      <c r="B11" s="19" t="s">
        <v>20</v>
      </c>
      <c r="C11" s="20">
        <v>286652.02</v>
      </c>
      <c r="D11" s="20">
        <v>0</v>
      </c>
      <c r="E11" s="21">
        <v>0</v>
      </c>
      <c r="F11" s="20">
        <v>286652.02</v>
      </c>
      <c r="G11" s="21">
        <v>1</v>
      </c>
    </row>
    <row r="12" spans="1:9" ht="12" customHeight="1" x14ac:dyDescent="0.3">
      <c r="A12" s="7" t="s">
        <v>66</v>
      </c>
      <c r="B12" s="19" t="s">
        <v>67</v>
      </c>
      <c r="C12" s="20">
        <v>258347.98</v>
      </c>
      <c r="D12" s="20">
        <v>216110.67</v>
      </c>
      <c r="E12" s="21">
        <v>0.83650999999999998</v>
      </c>
      <c r="F12" s="20">
        <v>42237.31</v>
      </c>
      <c r="G12" s="21">
        <v>0.163489</v>
      </c>
    </row>
    <row r="13" spans="1:9" ht="12" customHeight="1" x14ac:dyDescent="0.3">
      <c r="A13" s="7" t="s">
        <v>21</v>
      </c>
      <c r="B13" s="19" t="s">
        <v>22</v>
      </c>
      <c r="C13" s="20">
        <v>1250000</v>
      </c>
      <c r="D13" s="20">
        <v>225000.57</v>
      </c>
      <c r="E13" s="21">
        <v>0.18</v>
      </c>
      <c r="F13" s="20">
        <v>1024999.43</v>
      </c>
      <c r="G13" s="21">
        <v>0.81999900000000003</v>
      </c>
    </row>
    <row r="14" spans="1:9" ht="12" customHeight="1" x14ac:dyDescent="0.3">
      <c r="A14" s="7" t="s">
        <v>23</v>
      </c>
      <c r="B14" s="19" t="s">
        <v>24</v>
      </c>
      <c r="C14" s="20">
        <v>250000</v>
      </c>
      <c r="D14" s="20">
        <v>0</v>
      </c>
      <c r="E14" s="21">
        <v>0</v>
      </c>
      <c r="F14" s="20">
        <v>250000</v>
      </c>
      <c r="G14" s="21">
        <v>1</v>
      </c>
    </row>
    <row r="15" spans="1:9" ht="12" customHeight="1" x14ac:dyDescent="0.3">
      <c r="A15" s="7" t="s">
        <v>25</v>
      </c>
      <c r="B15" s="19" t="s">
        <v>26</v>
      </c>
      <c r="C15" s="20">
        <v>360000</v>
      </c>
      <c r="D15" s="20">
        <v>0</v>
      </c>
      <c r="E15" s="21">
        <v>0</v>
      </c>
      <c r="F15" s="20">
        <v>360000</v>
      </c>
      <c r="G15" s="21">
        <v>1</v>
      </c>
    </row>
    <row r="16" spans="1:9" ht="12" customHeight="1" x14ac:dyDescent="0.3">
      <c r="A16" s="7" t="s">
        <v>62</v>
      </c>
      <c r="B16" s="19" t="s">
        <v>63</v>
      </c>
      <c r="C16" s="20">
        <v>240000</v>
      </c>
      <c r="D16" s="20">
        <v>0</v>
      </c>
      <c r="E16" s="21">
        <v>0</v>
      </c>
      <c r="F16" s="20">
        <v>240000</v>
      </c>
      <c r="G16" s="21">
        <v>1</v>
      </c>
    </row>
    <row r="17" spans="1:7" ht="18" customHeight="1" x14ac:dyDescent="0.3">
      <c r="A17" s="63" t="s">
        <v>71</v>
      </c>
      <c r="B17" s="64"/>
      <c r="C17" s="22">
        <f>SUM(C$2:C16)</f>
        <v>5765000</v>
      </c>
      <c r="D17" s="22">
        <f>SUM(D$2:D16)</f>
        <v>1334568.76</v>
      </c>
      <c r="E17" s="23">
        <f>IF(C17=0,0,D17/C17)</f>
        <v>0.23149501474414572</v>
      </c>
      <c r="F17" s="22">
        <f>SUM(F$2:F16)</f>
        <v>4430431.24</v>
      </c>
      <c r="G17" s="23">
        <f>IF(C17=0,0,(C17-D17)/C17)</f>
        <v>0.76850498525585431</v>
      </c>
    </row>
    <row r="18" spans="1:7" s="5" customFormat="1" ht="18" customHeight="1" x14ac:dyDescent="0.3">
      <c r="A18" s="61" t="s">
        <v>68</v>
      </c>
      <c r="B18" s="62"/>
      <c r="C18" s="24">
        <v>2354791.2752226125</v>
      </c>
      <c r="D18" s="24">
        <v>545122.4409770444</v>
      </c>
      <c r="E18" s="25">
        <f>IF(C18=0,0,D18/C18)</f>
        <v>0.23149501474414572</v>
      </c>
      <c r="F18" s="24">
        <v>1809668.8342455684</v>
      </c>
      <c r="G18" s="25">
        <f>IF(C18=0,0,(C18-D18)/C18)</f>
        <v>0.76850498525585431</v>
      </c>
    </row>
    <row r="19" spans="1:7" ht="12" customHeight="1" x14ac:dyDescent="0.3">
      <c r="B19" s="26"/>
      <c r="C19" s="27"/>
      <c r="D19" s="27"/>
      <c r="E19" s="28"/>
      <c r="F19" s="27"/>
      <c r="G19" s="28"/>
    </row>
    <row r="20" spans="1:7" ht="12" customHeight="1" x14ac:dyDescent="0.3">
      <c r="B20" s="26"/>
      <c r="C20" s="27"/>
      <c r="D20" s="27"/>
      <c r="E20" s="28"/>
      <c r="F20" s="27"/>
      <c r="G20" s="28"/>
    </row>
    <row r="21" spans="1:7" ht="30" customHeight="1" x14ac:dyDescent="0.3">
      <c r="A21" s="6" t="s">
        <v>0</v>
      </c>
      <c r="B21" s="16" t="s">
        <v>1</v>
      </c>
      <c r="C21" s="17" t="s">
        <v>2</v>
      </c>
      <c r="D21" s="17" t="s">
        <v>3</v>
      </c>
      <c r="E21" s="18" t="s">
        <v>4</v>
      </c>
      <c r="F21" s="17" t="s">
        <v>5</v>
      </c>
      <c r="G21" s="18" t="s">
        <v>6</v>
      </c>
    </row>
    <row r="22" spans="1:7" ht="12" customHeight="1" x14ac:dyDescent="0.3">
      <c r="A22" s="7" t="s">
        <v>58</v>
      </c>
      <c r="B22" s="19" t="s">
        <v>59</v>
      </c>
      <c r="C22" s="32">
        <v>250000</v>
      </c>
      <c r="D22" s="32">
        <v>235868.88</v>
      </c>
      <c r="E22" s="21">
        <v>0</v>
      </c>
      <c r="F22" s="32">
        <v>14131.12</v>
      </c>
      <c r="G22" s="21">
        <v>0</v>
      </c>
    </row>
    <row r="23" spans="1:7" ht="12" customHeight="1" x14ac:dyDescent="0.3">
      <c r="A23" s="7" t="s">
        <v>49</v>
      </c>
      <c r="B23" s="19" t="s">
        <v>50</v>
      </c>
      <c r="C23" s="32">
        <v>230000</v>
      </c>
      <c r="D23" s="32">
        <v>192594.24</v>
      </c>
      <c r="E23" s="21">
        <v>0</v>
      </c>
      <c r="F23" s="32">
        <v>37405.760000000002</v>
      </c>
      <c r="G23" s="21">
        <v>0</v>
      </c>
    </row>
    <row r="24" spans="1:7" ht="12" customHeight="1" x14ac:dyDescent="0.3">
      <c r="A24" s="7" t="s">
        <v>51</v>
      </c>
      <c r="B24" s="19" t="s">
        <v>52</v>
      </c>
      <c r="C24" s="32">
        <v>199640.36</v>
      </c>
      <c r="D24" s="32">
        <v>26610.9</v>
      </c>
      <c r="E24" s="21">
        <v>0</v>
      </c>
      <c r="F24" s="32">
        <v>173029.46</v>
      </c>
      <c r="G24" s="21">
        <v>0</v>
      </c>
    </row>
    <row r="25" spans="1:7" ht="12" customHeight="1" x14ac:dyDescent="0.3">
      <c r="A25" s="7" t="s">
        <v>33</v>
      </c>
      <c r="B25" s="19" t="s">
        <v>34</v>
      </c>
      <c r="C25" s="32">
        <v>306000</v>
      </c>
      <c r="D25" s="32">
        <v>435122.74</v>
      </c>
      <c r="E25" s="21">
        <v>0</v>
      </c>
      <c r="F25" s="32">
        <v>-129122.74</v>
      </c>
      <c r="G25" s="21">
        <v>0</v>
      </c>
    </row>
    <row r="26" spans="1:7" ht="12" customHeight="1" x14ac:dyDescent="0.3">
      <c r="A26" s="7" t="s">
        <v>29</v>
      </c>
      <c r="B26" s="19" t="s">
        <v>30</v>
      </c>
      <c r="C26" s="32">
        <v>170000</v>
      </c>
      <c r="D26" s="32">
        <v>136920.79999999999</v>
      </c>
      <c r="E26" s="21">
        <v>0</v>
      </c>
      <c r="F26" s="32">
        <v>33079.199999999997</v>
      </c>
      <c r="G26" s="21">
        <v>0</v>
      </c>
    </row>
    <row r="27" spans="1:7" ht="12" customHeight="1" x14ac:dyDescent="0.3">
      <c r="A27" s="13" t="s">
        <v>31</v>
      </c>
      <c r="B27" s="33" t="s">
        <v>32</v>
      </c>
      <c r="C27" s="34">
        <v>220000</v>
      </c>
      <c r="D27" s="34">
        <v>0</v>
      </c>
      <c r="E27" s="35">
        <v>0</v>
      </c>
      <c r="F27" s="34">
        <v>220000</v>
      </c>
      <c r="G27" s="35">
        <v>0</v>
      </c>
    </row>
    <row r="28" spans="1:7" ht="12" customHeight="1" x14ac:dyDescent="0.3">
      <c r="A28" s="9" t="s">
        <v>35</v>
      </c>
      <c r="B28" s="29">
        <v>2.4481999999999999</v>
      </c>
      <c r="C28" s="36">
        <f>SUM(C$22:C27)</f>
        <v>1375640.3599999999</v>
      </c>
      <c r="D28" s="36">
        <f>SUM(D$22:D27)</f>
        <v>1027117.56</v>
      </c>
      <c r="E28" s="30">
        <f>IF(C28=0,0,D28/C28)</f>
        <v>0.74664686342875264</v>
      </c>
      <c r="F28" s="36">
        <f>SUM(F$22:F27)</f>
        <v>348522.8</v>
      </c>
      <c r="G28" s="30">
        <f>IF(C28=0,0,(C28-D28)/C28)</f>
        <v>0.25335313657124731</v>
      </c>
    </row>
    <row r="29" spans="1:7" ht="18" customHeight="1" x14ac:dyDescent="0.3">
      <c r="A29" s="65" t="s">
        <v>36</v>
      </c>
      <c r="B29" s="66"/>
      <c r="C29" s="31">
        <v>1375640.3599999999</v>
      </c>
      <c r="D29" s="31">
        <v>1027117.56</v>
      </c>
      <c r="E29" s="25">
        <f>IF(C29=0,0,D29/C29)</f>
        <v>0.74664686342875264</v>
      </c>
      <c r="F29" s="31">
        <v>348522.8</v>
      </c>
      <c r="G29" s="25">
        <f>IF(C29=0,0,(C29-D29)/C29)</f>
        <v>0.25335313657124731</v>
      </c>
    </row>
    <row r="30" spans="1:7" ht="12" customHeight="1" x14ac:dyDescent="0.3">
      <c r="B30" s="26"/>
      <c r="C30" s="27"/>
      <c r="D30" s="27"/>
      <c r="E30" s="28"/>
      <c r="F30" s="27"/>
      <c r="G30" s="28"/>
    </row>
    <row r="31" spans="1:7" ht="30" customHeight="1" x14ac:dyDescent="0.3">
      <c r="A31" s="6" t="s">
        <v>0</v>
      </c>
      <c r="B31" s="16" t="s">
        <v>1</v>
      </c>
      <c r="C31" s="17" t="s">
        <v>2</v>
      </c>
      <c r="D31" s="17" t="s">
        <v>3</v>
      </c>
      <c r="E31" s="18" t="s">
        <v>4</v>
      </c>
      <c r="F31" s="17" t="s">
        <v>5</v>
      </c>
      <c r="G31" s="18" t="s">
        <v>6</v>
      </c>
    </row>
    <row r="32" spans="1:7" ht="12" customHeight="1" x14ac:dyDescent="0.3">
      <c r="A32" s="7" t="s">
        <v>37</v>
      </c>
      <c r="B32" s="37" t="s">
        <v>38</v>
      </c>
      <c r="C32" s="20">
        <v>0</v>
      </c>
      <c r="D32" s="20">
        <v>59397.599999999999</v>
      </c>
      <c r="E32" s="21"/>
      <c r="F32" s="20">
        <f>SUM(C32 - D32)</f>
        <v>-59397.599999999999</v>
      </c>
      <c r="G32" s="21"/>
    </row>
    <row r="33" spans="1:7" ht="12" customHeight="1" x14ac:dyDescent="0.3">
      <c r="A33" s="7" t="s">
        <v>27</v>
      </c>
      <c r="B33" s="37" t="s">
        <v>39</v>
      </c>
      <c r="C33" s="20">
        <v>0</v>
      </c>
      <c r="D33" s="20">
        <v>21500</v>
      </c>
      <c r="E33" s="21"/>
      <c r="F33" s="20">
        <f t="shared" ref="F33:F44" si="0">SUM(C33 - D33)</f>
        <v>-21500</v>
      </c>
      <c r="G33" s="21"/>
    </row>
    <row r="34" spans="1:7" ht="12" customHeight="1" x14ac:dyDescent="0.3">
      <c r="A34" s="9"/>
      <c r="B34" s="29" t="s">
        <v>69</v>
      </c>
      <c r="C34" s="38">
        <f>SUM(C$32:C33) / 2.4482</f>
        <v>0</v>
      </c>
      <c r="D34" s="38">
        <v>33043.705579609508</v>
      </c>
      <c r="E34" s="30"/>
      <c r="F34" s="38">
        <f t="shared" si="0"/>
        <v>-33043.705579609508</v>
      </c>
      <c r="G34" s="30"/>
    </row>
    <row r="35" spans="1:7" ht="12" customHeight="1" x14ac:dyDescent="0.3">
      <c r="A35" s="7" t="s">
        <v>37</v>
      </c>
      <c r="B35" s="37" t="s">
        <v>40</v>
      </c>
      <c r="C35" s="20">
        <v>0</v>
      </c>
      <c r="D35" s="39">
        <v>81052</v>
      </c>
      <c r="E35" s="21"/>
      <c r="F35" s="39">
        <f t="shared" si="0"/>
        <v>-81052</v>
      </c>
      <c r="G35" s="21"/>
    </row>
    <row r="36" spans="1:7" ht="12" customHeight="1" x14ac:dyDescent="0.3">
      <c r="A36" s="7" t="s">
        <v>28</v>
      </c>
      <c r="B36" s="37" t="s">
        <v>57</v>
      </c>
      <c r="C36" s="20">
        <v>0</v>
      </c>
      <c r="D36" s="39">
        <v>10512</v>
      </c>
      <c r="E36" s="21"/>
      <c r="F36" s="39">
        <f t="shared" si="0"/>
        <v>-10512</v>
      </c>
      <c r="G36" s="21"/>
    </row>
    <row r="37" spans="1:7" ht="12" customHeight="1" x14ac:dyDescent="0.3">
      <c r="A37" s="7" t="s">
        <v>27</v>
      </c>
      <c r="B37" s="37" t="s">
        <v>41</v>
      </c>
      <c r="C37" s="20">
        <v>0</v>
      </c>
      <c r="D37" s="39">
        <v>85052</v>
      </c>
      <c r="E37" s="21"/>
      <c r="F37" s="39">
        <f t="shared" si="0"/>
        <v>-85052</v>
      </c>
      <c r="G37" s="21"/>
    </row>
    <row r="38" spans="1:7" ht="12" customHeight="1" x14ac:dyDescent="0.3">
      <c r="A38" s="7" t="s">
        <v>53</v>
      </c>
      <c r="B38" s="37" t="s">
        <v>54</v>
      </c>
      <c r="C38" s="20">
        <v>0</v>
      </c>
      <c r="D38" s="39">
        <v>117793.02</v>
      </c>
      <c r="E38" s="21"/>
      <c r="F38" s="39">
        <f t="shared" si="0"/>
        <v>-117793.02</v>
      </c>
      <c r="G38" s="21"/>
    </row>
    <row r="39" spans="1:7" ht="12" customHeight="1" x14ac:dyDescent="0.3">
      <c r="A39" s="9"/>
      <c r="B39" s="29" t="s">
        <v>70</v>
      </c>
      <c r="C39" s="40">
        <f>SUM(C$35:C38) / 2.4482</f>
        <v>0</v>
      </c>
      <c r="D39" s="38">
        <v>335452.15312882938</v>
      </c>
      <c r="E39" s="30"/>
      <c r="F39" s="38">
        <f t="shared" si="0"/>
        <v>-335452.15312882938</v>
      </c>
      <c r="G39" s="30"/>
    </row>
    <row r="40" spans="1:7" ht="12" customHeight="1" x14ac:dyDescent="0.3">
      <c r="A40" s="7" t="s">
        <v>47</v>
      </c>
      <c r="B40" s="37" t="s">
        <v>48</v>
      </c>
      <c r="C40" s="20">
        <v>0</v>
      </c>
      <c r="D40" s="41">
        <v>16830</v>
      </c>
      <c r="E40" s="21"/>
      <c r="F40" s="41">
        <f t="shared" si="0"/>
        <v>-16830</v>
      </c>
      <c r="G40" s="21"/>
    </row>
    <row r="41" spans="1:7" ht="12" customHeight="1" x14ac:dyDescent="0.3">
      <c r="A41" s="7" t="s">
        <v>37</v>
      </c>
      <c r="B41" s="37" t="s">
        <v>42</v>
      </c>
      <c r="C41" s="20">
        <v>0</v>
      </c>
      <c r="D41" s="41">
        <v>68685</v>
      </c>
      <c r="E41" s="21"/>
      <c r="F41" s="41">
        <f t="shared" si="0"/>
        <v>-68685</v>
      </c>
      <c r="G41" s="21"/>
    </row>
    <row r="42" spans="1:7" ht="12" customHeight="1" x14ac:dyDescent="0.3">
      <c r="A42" s="7" t="s">
        <v>43</v>
      </c>
      <c r="B42" s="37" t="s">
        <v>44</v>
      </c>
      <c r="C42" s="20">
        <v>0</v>
      </c>
      <c r="D42" s="41">
        <v>18420</v>
      </c>
      <c r="E42" s="21"/>
      <c r="F42" s="41">
        <f t="shared" si="0"/>
        <v>-18420</v>
      </c>
      <c r="G42" s="21"/>
    </row>
    <row r="43" spans="1:7" ht="12" customHeight="1" x14ac:dyDescent="0.3">
      <c r="A43" s="7" t="s">
        <v>27</v>
      </c>
      <c r="B43" s="37" t="s">
        <v>45</v>
      </c>
      <c r="C43" s="20">
        <v>0</v>
      </c>
      <c r="D43" s="41">
        <v>40646.17</v>
      </c>
      <c r="E43" s="21"/>
      <c r="F43" s="41">
        <f t="shared" si="0"/>
        <v>-40646.17</v>
      </c>
      <c r="G43" s="21"/>
    </row>
    <row r="44" spans="1:7" ht="12" customHeight="1" x14ac:dyDescent="0.3">
      <c r="A44" s="9"/>
      <c r="B44" s="29" t="s">
        <v>35</v>
      </c>
      <c r="C44" s="38">
        <f>SUM(C$40:C43) / 2.4482</f>
        <v>0</v>
      </c>
      <c r="D44" s="38">
        <v>144581.17000000001</v>
      </c>
      <c r="E44" s="30"/>
      <c r="F44" s="38">
        <f t="shared" si="0"/>
        <v>-144581.17000000001</v>
      </c>
      <c r="G44" s="30"/>
    </row>
    <row r="45" spans="1:7" ht="18" customHeight="1" x14ac:dyDescent="0.3">
      <c r="A45" s="10" t="s">
        <v>46</v>
      </c>
      <c r="B45" s="15"/>
      <c r="C45" s="11"/>
      <c r="D45" s="14">
        <v>513077.02870843885</v>
      </c>
      <c r="E45" s="8"/>
      <c r="F45" s="14">
        <v>-513077.02870843885</v>
      </c>
      <c r="G45" s="8"/>
    </row>
  </sheetData>
  <mergeCells count="3">
    <mergeCell ref="A18:B18"/>
    <mergeCell ref="A17:B17"/>
    <mergeCell ref="A29:B29"/>
  </mergeCells>
  <phoneticPr fontId="2" type="noConversion"/>
  <printOptions horizontalCentered="1"/>
  <pageMargins left="0.5" right="0.5" top="0.6" bottom="0.4" header="0.2" footer="0.1"/>
  <pageSetup paperSize="9" scale="96" fitToHeight="0" orientation="landscape" horizontalDpi="4294967293" r:id="rId1"/>
  <headerFooter>
    <oddHeader>&amp;C&amp;"Verdana,Kalın"&amp;14&amp;UYURT İÇİ KREDİ VE RİSK LİMİTİ</oddHeader>
    <oddFooter>&amp;C&amp;"Tahoma,Normal"&amp;9 damla 
18/02/2015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H59"/>
  <sheetViews>
    <sheetView showGridLines="0" showZeros="0" workbookViewId="0">
      <selection activeCell="E16" sqref="E16"/>
    </sheetView>
  </sheetViews>
  <sheetFormatPr defaultColWidth="10.6640625" defaultRowHeight="12" customHeight="1" x14ac:dyDescent="0.3"/>
  <cols>
    <col min="1" max="1" width="29" style="51" bestFit="1" customWidth="1"/>
    <col min="2" max="2" width="47.5546875" style="52" bestFit="1" customWidth="1"/>
    <col min="3" max="4" width="12.6640625" style="53" bestFit="1" customWidth="1"/>
    <col min="5" max="5" width="10.6640625" style="54"/>
    <col min="6" max="6" width="10.6640625" style="54" bestFit="1" customWidth="1"/>
    <col min="7" max="7" width="10.6640625" style="54"/>
    <col min="8" max="8" width="21.33203125" style="54" customWidth="1"/>
    <col min="9" max="16384" width="10.6640625" style="1"/>
  </cols>
  <sheetData>
    <row r="1" spans="1:8" ht="30" customHeight="1" x14ac:dyDescent="0.3">
      <c r="A1" s="55" t="s">
        <v>0</v>
      </c>
      <c r="B1" s="56" t="s">
        <v>1</v>
      </c>
      <c r="C1" s="57" t="s">
        <v>2</v>
      </c>
      <c r="D1" s="57" t="s">
        <v>3</v>
      </c>
      <c r="E1" s="58" t="s">
        <v>72</v>
      </c>
      <c r="F1" s="58" t="s">
        <v>74</v>
      </c>
      <c r="G1" s="58" t="s">
        <v>75</v>
      </c>
      <c r="H1" s="60" t="s">
        <v>76</v>
      </c>
    </row>
    <row r="2" spans="1:8" ht="12" customHeight="1" x14ac:dyDescent="0.3">
      <c r="A2" s="48" t="s">
        <v>7</v>
      </c>
      <c r="B2" s="42" t="s">
        <v>8</v>
      </c>
      <c r="C2" s="43">
        <v>325000</v>
      </c>
      <c r="D2" s="43">
        <v>0</v>
      </c>
      <c r="E2" s="49" t="s">
        <v>73</v>
      </c>
      <c r="F2" s="50">
        <v>42053</v>
      </c>
      <c r="G2" s="49">
        <v>2.4481999999999999</v>
      </c>
      <c r="H2" s="49" t="s">
        <v>77</v>
      </c>
    </row>
    <row r="3" spans="1:8" ht="12" customHeight="1" x14ac:dyDescent="0.3">
      <c r="A3" s="48" t="s">
        <v>9</v>
      </c>
      <c r="B3" s="42" t="s">
        <v>10</v>
      </c>
      <c r="C3" s="43">
        <v>300000</v>
      </c>
      <c r="D3" s="43">
        <v>0</v>
      </c>
      <c r="E3" s="49" t="s">
        <v>73</v>
      </c>
      <c r="F3" s="50">
        <v>42053</v>
      </c>
      <c r="G3" s="49">
        <v>2.4481999999999999</v>
      </c>
      <c r="H3" s="49" t="s">
        <v>77</v>
      </c>
    </row>
    <row r="4" spans="1:8" ht="12" customHeight="1" x14ac:dyDescent="0.3">
      <c r="A4" s="48" t="s">
        <v>60</v>
      </c>
      <c r="B4" s="42" t="s">
        <v>61</v>
      </c>
      <c r="C4" s="43">
        <v>175000</v>
      </c>
      <c r="D4" s="43">
        <v>133264.41</v>
      </c>
      <c r="E4" s="49" t="s">
        <v>73</v>
      </c>
      <c r="F4" s="50">
        <v>42053</v>
      </c>
      <c r="G4" s="49">
        <v>2.4481999999999999</v>
      </c>
      <c r="H4" s="49" t="s">
        <v>77</v>
      </c>
    </row>
    <row r="5" spans="1:8" ht="12" customHeight="1" x14ac:dyDescent="0.3">
      <c r="A5" s="48" t="s">
        <v>11</v>
      </c>
      <c r="B5" s="42" t="s">
        <v>12</v>
      </c>
      <c r="C5" s="43">
        <v>494706</v>
      </c>
      <c r="D5" s="43">
        <v>0</v>
      </c>
      <c r="E5" s="49" t="s">
        <v>73</v>
      </c>
      <c r="F5" s="50">
        <v>42053</v>
      </c>
      <c r="G5" s="49">
        <v>2.4481999999999999</v>
      </c>
      <c r="H5" s="49" t="s">
        <v>77</v>
      </c>
    </row>
    <row r="6" spans="1:8" ht="12" customHeight="1" x14ac:dyDescent="0.3">
      <c r="A6" s="48" t="s">
        <v>13</v>
      </c>
      <c r="B6" s="42" t="s">
        <v>14</v>
      </c>
      <c r="C6" s="43">
        <v>505294</v>
      </c>
      <c r="D6" s="43">
        <v>417854.79</v>
      </c>
      <c r="E6" s="49" t="s">
        <v>73</v>
      </c>
      <c r="F6" s="50">
        <v>42053</v>
      </c>
      <c r="G6" s="49">
        <v>2.4481999999999999</v>
      </c>
      <c r="H6" s="49" t="s">
        <v>77</v>
      </c>
    </row>
    <row r="7" spans="1:8" ht="12" customHeight="1" x14ac:dyDescent="0.3">
      <c r="A7" s="48" t="s">
        <v>15</v>
      </c>
      <c r="B7" s="42" t="s">
        <v>16</v>
      </c>
      <c r="C7" s="43">
        <v>700000</v>
      </c>
      <c r="D7" s="43">
        <v>90000</v>
      </c>
      <c r="E7" s="49" t="s">
        <v>73</v>
      </c>
      <c r="F7" s="50">
        <v>42053</v>
      </c>
      <c r="G7" s="49">
        <v>2.4481999999999999</v>
      </c>
      <c r="H7" s="49" t="s">
        <v>77</v>
      </c>
    </row>
    <row r="8" spans="1:8" ht="12" customHeight="1" x14ac:dyDescent="0.3">
      <c r="A8" s="48" t="s">
        <v>17</v>
      </c>
      <c r="B8" s="42" t="s">
        <v>18</v>
      </c>
      <c r="C8" s="43">
        <v>120000</v>
      </c>
      <c r="D8" s="43">
        <v>0</v>
      </c>
      <c r="E8" s="49" t="s">
        <v>73</v>
      </c>
      <c r="F8" s="50">
        <v>42053</v>
      </c>
      <c r="G8" s="49">
        <v>2.4481999999999999</v>
      </c>
      <c r="H8" s="49" t="s">
        <v>77</v>
      </c>
    </row>
    <row r="9" spans="1:8" ht="12" customHeight="1" x14ac:dyDescent="0.3">
      <c r="A9" s="48" t="s">
        <v>55</v>
      </c>
      <c r="B9" s="42" t="s">
        <v>56</v>
      </c>
      <c r="C9" s="43">
        <v>200000</v>
      </c>
      <c r="D9" s="43">
        <v>0</v>
      </c>
      <c r="E9" s="49" t="s">
        <v>73</v>
      </c>
      <c r="F9" s="50">
        <v>42053</v>
      </c>
      <c r="G9" s="49">
        <v>2.4481999999999999</v>
      </c>
      <c r="H9" s="49" t="s">
        <v>77</v>
      </c>
    </row>
    <row r="10" spans="1:8" ht="12" customHeight="1" x14ac:dyDescent="0.3">
      <c r="A10" s="48" t="s">
        <v>64</v>
      </c>
      <c r="B10" s="42" t="s">
        <v>65</v>
      </c>
      <c r="C10" s="43">
        <v>300000</v>
      </c>
      <c r="D10" s="43">
        <v>252338.32</v>
      </c>
      <c r="E10" s="49" t="s">
        <v>73</v>
      </c>
      <c r="F10" s="50">
        <v>42053</v>
      </c>
      <c r="G10" s="49">
        <v>2.4481999999999999</v>
      </c>
      <c r="H10" s="49" t="s">
        <v>77</v>
      </c>
    </row>
    <row r="11" spans="1:8" ht="12" customHeight="1" x14ac:dyDescent="0.3">
      <c r="A11" s="48" t="s">
        <v>19</v>
      </c>
      <c r="B11" s="42" t="s">
        <v>20</v>
      </c>
      <c r="C11" s="43">
        <v>286652.02</v>
      </c>
      <c r="D11" s="43">
        <v>0</v>
      </c>
      <c r="E11" s="49" t="s">
        <v>73</v>
      </c>
      <c r="F11" s="50">
        <v>42053</v>
      </c>
      <c r="G11" s="49">
        <v>2.4481999999999999</v>
      </c>
      <c r="H11" s="49" t="s">
        <v>77</v>
      </c>
    </row>
    <row r="12" spans="1:8" ht="12" customHeight="1" x14ac:dyDescent="0.3">
      <c r="A12" s="48" t="s">
        <v>66</v>
      </c>
      <c r="B12" s="42" t="s">
        <v>67</v>
      </c>
      <c r="C12" s="43">
        <v>258347.98</v>
      </c>
      <c r="D12" s="43">
        <v>216110.67</v>
      </c>
      <c r="E12" s="49" t="s">
        <v>73</v>
      </c>
      <c r="F12" s="50">
        <v>42053</v>
      </c>
      <c r="G12" s="49">
        <v>2.4481999999999999</v>
      </c>
      <c r="H12" s="49" t="s">
        <v>77</v>
      </c>
    </row>
    <row r="13" spans="1:8" ht="12" customHeight="1" x14ac:dyDescent="0.3">
      <c r="A13" s="48" t="s">
        <v>21</v>
      </c>
      <c r="B13" s="42" t="s">
        <v>22</v>
      </c>
      <c r="C13" s="43">
        <v>1250000</v>
      </c>
      <c r="D13" s="43">
        <v>225000.57</v>
      </c>
      <c r="E13" s="49" t="s">
        <v>73</v>
      </c>
      <c r="F13" s="50">
        <v>42053</v>
      </c>
      <c r="G13" s="49">
        <v>2.4481999999999999</v>
      </c>
      <c r="H13" s="49" t="s">
        <v>77</v>
      </c>
    </row>
    <row r="14" spans="1:8" ht="12" customHeight="1" x14ac:dyDescent="0.3">
      <c r="A14" s="48" t="s">
        <v>23</v>
      </c>
      <c r="B14" s="42" t="s">
        <v>24</v>
      </c>
      <c r="C14" s="43">
        <v>250000</v>
      </c>
      <c r="D14" s="43">
        <v>0</v>
      </c>
      <c r="E14" s="49" t="s">
        <v>73</v>
      </c>
      <c r="F14" s="50">
        <v>42053</v>
      </c>
      <c r="G14" s="49">
        <v>2.4481999999999999</v>
      </c>
      <c r="H14" s="49" t="s">
        <v>77</v>
      </c>
    </row>
    <row r="15" spans="1:8" ht="12" customHeight="1" x14ac:dyDescent="0.3">
      <c r="A15" s="48" t="s">
        <v>25</v>
      </c>
      <c r="B15" s="42" t="s">
        <v>26</v>
      </c>
      <c r="C15" s="43">
        <v>360000</v>
      </c>
      <c r="D15" s="43">
        <v>0</v>
      </c>
      <c r="E15" s="49" t="s">
        <v>73</v>
      </c>
      <c r="F15" s="50">
        <v>42053</v>
      </c>
      <c r="G15" s="49">
        <v>2.4481999999999999</v>
      </c>
      <c r="H15" s="49" t="s">
        <v>77</v>
      </c>
    </row>
    <row r="16" spans="1:8" ht="12" customHeight="1" x14ac:dyDescent="0.3">
      <c r="A16" s="48" t="s">
        <v>62</v>
      </c>
      <c r="B16" s="42" t="s">
        <v>63</v>
      </c>
      <c r="C16" s="43">
        <v>240000</v>
      </c>
      <c r="D16" s="43">
        <v>0</v>
      </c>
      <c r="E16" s="49" t="s">
        <v>73</v>
      </c>
      <c r="F16" s="50">
        <v>42053</v>
      </c>
      <c r="G16" s="49">
        <v>2.4481999999999999</v>
      </c>
      <c r="H16" s="49" t="s">
        <v>77</v>
      </c>
    </row>
    <row r="17" spans="1:8" ht="12" customHeight="1" x14ac:dyDescent="0.3">
      <c r="A17" s="48" t="s">
        <v>58</v>
      </c>
      <c r="B17" s="42" t="s">
        <v>59</v>
      </c>
      <c r="C17" s="44">
        <v>250000</v>
      </c>
      <c r="D17" s="44">
        <v>235868.88</v>
      </c>
      <c r="E17" s="49" t="s">
        <v>73</v>
      </c>
      <c r="F17" s="50">
        <v>42053</v>
      </c>
      <c r="G17" s="49">
        <v>2.4481999999999999</v>
      </c>
      <c r="H17" s="49" t="s">
        <v>78</v>
      </c>
    </row>
    <row r="18" spans="1:8" ht="12" customHeight="1" x14ac:dyDescent="0.3">
      <c r="A18" s="48" t="s">
        <v>49</v>
      </c>
      <c r="B18" s="42" t="s">
        <v>50</v>
      </c>
      <c r="C18" s="44">
        <v>230000</v>
      </c>
      <c r="D18" s="44">
        <v>192594.24</v>
      </c>
      <c r="E18" s="49" t="s">
        <v>73</v>
      </c>
      <c r="F18" s="50">
        <v>42053</v>
      </c>
      <c r="G18" s="49">
        <v>2.4481999999999999</v>
      </c>
      <c r="H18" s="49" t="s">
        <v>78</v>
      </c>
    </row>
    <row r="19" spans="1:8" ht="12" customHeight="1" x14ac:dyDescent="0.3">
      <c r="A19" s="48" t="s">
        <v>51</v>
      </c>
      <c r="B19" s="42" t="s">
        <v>52</v>
      </c>
      <c r="C19" s="44">
        <v>199640.36</v>
      </c>
      <c r="D19" s="44">
        <v>26610.9</v>
      </c>
      <c r="E19" s="49" t="s">
        <v>73</v>
      </c>
      <c r="F19" s="50">
        <v>42053</v>
      </c>
      <c r="G19" s="49">
        <v>2.4481999999999999</v>
      </c>
      <c r="H19" s="49" t="s">
        <v>78</v>
      </c>
    </row>
    <row r="20" spans="1:8" ht="12" customHeight="1" x14ac:dyDescent="0.3">
      <c r="A20" s="48" t="s">
        <v>33</v>
      </c>
      <c r="B20" s="42" t="s">
        <v>34</v>
      </c>
      <c r="C20" s="44">
        <v>306000</v>
      </c>
      <c r="D20" s="44">
        <v>435122.74</v>
      </c>
      <c r="E20" s="49" t="s">
        <v>73</v>
      </c>
      <c r="F20" s="50">
        <v>42053</v>
      </c>
      <c r="G20" s="49">
        <v>2.4481999999999999</v>
      </c>
      <c r="H20" s="49" t="s">
        <v>78</v>
      </c>
    </row>
    <row r="21" spans="1:8" ht="12" customHeight="1" x14ac:dyDescent="0.3">
      <c r="A21" s="48" t="s">
        <v>29</v>
      </c>
      <c r="B21" s="42" t="s">
        <v>30</v>
      </c>
      <c r="C21" s="44">
        <v>170000</v>
      </c>
      <c r="D21" s="44">
        <v>136920.79999999999</v>
      </c>
      <c r="E21" s="49" t="s">
        <v>73</v>
      </c>
      <c r="F21" s="50">
        <v>42053</v>
      </c>
      <c r="G21" s="49">
        <v>2.4481999999999999</v>
      </c>
      <c r="H21" s="49" t="s">
        <v>78</v>
      </c>
    </row>
    <row r="22" spans="1:8" ht="12" customHeight="1" x14ac:dyDescent="0.3">
      <c r="A22" s="48" t="s">
        <v>31</v>
      </c>
      <c r="B22" s="42" t="s">
        <v>32</v>
      </c>
      <c r="C22" s="44">
        <v>220000</v>
      </c>
      <c r="D22" s="44">
        <v>0</v>
      </c>
      <c r="E22" s="49" t="s">
        <v>73</v>
      </c>
      <c r="F22" s="50">
        <v>42053</v>
      </c>
      <c r="G22" s="49">
        <v>2.4481999999999999</v>
      </c>
      <c r="H22" s="49" t="s">
        <v>78</v>
      </c>
    </row>
    <row r="23" spans="1:8" ht="12" customHeight="1" x14ac:dyDescent="0.3">
      <c r="A23" s="48" t="s">
        <v>37</v>
      </c>
      <c r="B23" s="45" t="s">
        <v>38</v>
      </c>
      <c r="C23" s="43">
        <v>0</v>
      </c>
      <c r="D23" s="43">
        <v>59397.599999999999</v>
      </c>
      <c r="E23" s="49" t="s">
        <v>80</v>
      </c>
      <c r="F23" s="50">
        <v>42053</v>
      </c>
      <c r="G23" s="49">
        <v>2.4481999999999999</v>
      </c>
      <c r="H23" s="49" t="s">
        <v>79</v>
      </c>
    </row>
    <row r="24" spans="1:8" ht="12" customHeight="1" x14ac:dyDescent="0.3">
      <c r="A24" s="48" t="s">
        <v>27</v>
      </c>
      <c r="B24" s="45" t="s">
        <v>39</v>
      </c>
      <c r="C24" s="43">
        <v>0</v>
      </c>
      <c r="D24" s="43">
        <v>21500</v>
      </c>
      <c r="E24" s="49" t="s">
        <v>80</v>
      </c>
      <c r="F24" s="50">
        <v>42053</v>
      </c>
      <c r="G24" s="49">
        <v>2.4481999999999999</v>
      </c>
      <c r="H24" s="49" t="s">
        <v>79</v>
      </c>
    </row>
    <row r="25" spans="1:8" ht="12" customHeight="1" x14ac:dyDescent="0.3">
      <c r="A25" s="48" t="s">
        <v>37</v>
      </c>
      <c r="B25" s="45" t="s">
        <v>40</v>
      </c>
      <c r="C25" s="43">
        <v>0</v>
      </c>
      <c r="D25" s="46">
        <v>81052</v>
      </c>
      <c r="E25" s="49" t="s">
        <v>81</v>
      </c>
      <c r="F25" s="50">
        <v>42053</v>
      </c>
      <c r="G25" s="49">
        <v>2.4481999999999999</v>
      </c>
      <c r="H25" s="49" t="s">
        <v>79</v>
      </c>
    </row>
    <row r="26" spans="1:8" ht="12" customHeight="1" x14ac:dyDescent="0.3">
      <c r="A26" s="48" t="s">
        <v>28</v>
      </c>
      <c r="B26" s="45" t="s">
        <v>57</v>
      </c>
      <c r="C26" s="43">
        <v>0</v>
      </c>
      <c r="D26" s="46">
        <v>10512</v>
      </c>
      <c r="E26" s="49" t="s">
        <v>81</v>
      </c>
      <c r="F26" s="50">
        <v>42053</v>
      </c>
      <c r="G26" s="49">
        <v>2.4481999999999999</v>
      </c>
      <c r="H26" s="49" t="s">
        <v>79</v>
      </c>
    </row>
    <row r="27" spans="1:8" ht="12" customHeight="1" x14ac:dyDescent="0.3">
      <c r="A27" s="48" t="s">
        <v>27</v>
      </c>
      <c r="B27" s="45" t="s">
        <v>41</v>
      </c>
      <c r="C27" s="43">
        <v>0</v>
      </c>
      <c r="D27" s="46">
        <v>85052</v>
      </c>
      <c r="E27" s="49" t="s">
        <v>81</v>
      </c>
      <c r="F27" s="50">
        <v>42053</v>
      </c>
      <c r="G27" s="49">
        <v>2.4481999999999999</v>
      </c>
      <c r="H27" s="49" t="s">
        <v>79</v>
      </c>
    </row>
    <row r="28" spans="1:8" ht="12" customHeight="1" x14ac:dyDescent="0.3">
      <c r="A28" s="48" t="s">
        <v>53</v>
      </c>
      <c r="B28" s="45" t="s">
        <v>54</v>
      </c>
      <c r="C28" s="43">
        <v>0</v>
      </c>
      <c r="D28" s="46">
        <v>117793.02</v>
      </c>
      <c r="E28" s="49" t="s">
        <v>81</v>
      </c>
      <c r="F28" s="50">
        <v>42053</v>
      </c>
      <c r="G28" s="49">
        <v>2.4481999999999999</v>
      </c>
      <c r="H28" s="49" t="s">
        <v>79</v>
      </c>
    </row>
    <row r="29" spans="1:8" ht="12" customHeight="1" x14ac:dyDescent="0.3">
      <c r="A29" s="48" t="s">
        <v>47</v>
      </c>
      <c r="B29" s="45" t="s">
        <v>48</v>
      </c>
      <c r="C29" s="43">
        <v>0</v>
      </c>
      <c r="D29" s="47">
        <v>16830</v>
      </c>
      <c r="E29" s="49" t="s">
        <v>73</v>
      </c>
      <c r="F29" s="50">
        <v>42053</v>
      </c>
      <c r="G29" s="49">
        <v>2.4481999999999999</v>
      </c>
      <c r="H29" s="49" t="s">
        <v>79</v>
      </c>
    </row>
    <row r="30" spans="1:8" ht="12" customHeight="1" x14ac:dyDescent="0.3">
      <c r="A30" s="48" t="s">
        <v>37</v>
      </c>
      <c r="B30" s="45" t="s">
        <v>42</v>
      </c>
      <c r="C30" s="43">
        <v>0</v>
      </c>
      <c r="D30" s="47">
        <v>68685</v>
      </c>
      <c r="E30" s="49" t="s">
        <v>73</v>
      </c>
      <c r="F30" s="50">
        <v>42053</v>
      </c>
      <c r="G30" s="49">
        <v>2.4481999999999999</v>
      </c>
      <c r="H30" s="49" t="s">
        <v>79</v>
      </c>
    </row>
    <row r="31" spans="1:8" ht="12" customHeight="1" x14ac:dyDescent="0.3">
      <c r="A31" s="48" t="s">
        <v>43</v>
      </c>
      <c r="B31" s="45" t="s">
        <v>44</v>
      </c>
      <c r="C31" s="43">
        <v>0</v>
      </c>
      <c r="D31" s="47">
        <v>18420</v>
      </c>
      <c r="E31" s="49" t="s">
        <v>73</v>
      </c>
      <c r="F31" s="50">
        <v>42053</v>
      </c>
      <c r="G31" s="49">
        <v>2.4481999999999999</v>
      </c>
      <c r="H31" s="49" t="s">
        <v>79</v>
      </c>
    </row>
    <row r="32" spans="1:8" ht="12" customHeight="1" x14ac:dyDescent="0.3">
      <c r="A32" s="48" t="s">
        <v>27</v>
      </c>
      <c r="B32" s="45" t="s">
        <v>45</v>
      </c>
      <c r="C32" s="43">
        <v>0</v>
      </c>
      <c r="D32" s="47">
        <v>40646.17</v>
      </c>
      <c r="E32" s="49" t="s">
        <v>73</v>
      </c>
      <c r="F32" s="50">
        <v>42053</v>
      </c>
      <c r="G32" s="49">
        <v>2.4481999999999999</v>
      </c>
      <c r="H32" s="49" t="s">
        <v>79</v>
      </c>
    </row>
    <row r="33" spans="1:8" ht="12" customHeight="1" x14ac:dyDescent="0.3">
      <c r="A33" s="48" t="s">
        <v>7</v>
      </c>
      <c r="B33" s="42" t="s">
        <v>8</v>
      </c>
      <c r="C33" s="43">
        <v>325100</v>
      </c>
      <c r="D33" s="43">
        <v>100</v>
      </c>
      <c r="E33" s="49" t="s">
        <v>73</v>
      </c>
      <c r="F33" s="50">
        <v>42054</v>
      </c>
      <c r="G33" s="49">
        <v>2.4479000000000002</v>
      </c>
      <c r="H33" s="49" t="s">
        <v>77</v>
      </c>
    </row>
    <row r="34" spans="1:8" ht="12" customHeight="1" x14ac:dyDescent="0.3">
      <c r="A34" s="48" t="s">
        <v>9</v>
      </c>
      <c r="B34" s="42" t="s">
        <v>10</v>
      </c>
      <c r="C34" s="43">
        <v>300100</v>
      </c>
      <c r="D34" s="43">
        <v>100</v>
      </c>
      <c r="E34" s="49" t="s">
        <v>73</v>
      </c>
      <c r="F34" s="50">
        <v>42054</v>
      </c>
      <c r="G34" s="49">
        <v>2.4479000000000002</v>
      </c>
      <c r="H34" s="49" t="s">
        <v>77</v>
      </c>
    </row>
    <row r="35" spans="1:8" ht="12" customHeight="1" x14ac:dyDescent="0.3">
      <c r="A35" s="48" t="s">
        <v>60</v>
      </c>
      <c r="B35" s="42" t="s">
        <v>61</v>
      </c>
      <c r="C35" s="43">
        <v>175100</v>
      </c>
      <c r="D35" s="43">
        <v>133364.41</v>
      </c>
      <c r="E35" s="49" t="s">
        <v>73</v>
      </c>
      <c r="F35" s="50">
        <v>42054</v>
      </c>
      <c r="G35" s="49">
        <v>2.4479000000000002</v>
      </c>
      <c r="H35" s="49" t="s">
        <v>77</v>
      </c>
    </row>
    <row r="36" spans="1:8" ht="12" customHeight="1" x14ac:dyDescent="0.3">
      <c r="A36" s="48" t="s">
        <v>11</v>
      </c>
      <c r="B36" s="42" t="s">
        <v>12</v>
      </c>
      <c r="C36" s="43">
        <v>494806</v>
      </c>
      <c r="D36" s="43">
        <v>100</v>
      </c>
      <c r="E36" s="49" t="s">
        <v>73</v>
      </c>
      <c r="F36" s="50">
        <v>42054</v>
      </c>
      <c r="G36" s="49">
        <v>2.4479000000000002</v>
      </c>
      <c r="H36" s="49" t="s">
        <v>77</v>
      </c>
    </row>
    <row r="37" spans="1:8" ht="12" customHeight="1" x14ac:dyDescent="0.3">
      <c r="A37" s="48" t="s">
        <v>13</v>
      </c>
      <c r="B37" s="42" t="s">
        <v>14</v>
      </c>
      <c r="C37" s="43">
        <v>505394</v>
      </c>
      <c r="D37" s="43">
        <v>417954.79</v>
      </c>
      <c r="E37" s="49" t="s">
        <v>73</v>
      </c>
      <c r="F37" s="50">
        <v>42054</v>
      </c>
      <c r="G37" s="49">
        <v>2.4479000000000002</v>
      </c>
      <c r="H37" s="49" t="s">
        <v>77</v>
      </c>
    </row>
    <row r="38" spans="1:8" ht="12" customHeight="1" x14ac:dyDescent="0.3">
      <c r="A38" s="48" t="s">
        <v>17</v>
      </c>
      <c r="B38" s="42" t="s">
        <v>18</v>
      </c>
      <c r="C38" s="43">
        <v>120100</v>
      </c>
      <c r="D38" s="43">
        <v>100</v>
      </c>
      <c r="E38" s="49" t="s">
        <v>73</v>
      </c>
      <c r="F38" s="50">
        <v>42054</v>
      </c>
      <c r="G38" s="49">
        <v>2.4479000000000002</v>
      </c>
      <c r="H38" s="49" t="s">
        <v>77</v>
      </c>
    </row>
    <row r="39" spans="1:8" ht="12" customHeight="1" x14ac:dyDescent="0.3">
      <c r="A39" s="48" t="s">
        <v>55</v>
      </c>
      <c r="B39" s="42" t="s">
        <v>56</v>
      </c>
      <c r="C39" s="43">
        <v>200100</v>
      </c>
      <c r="D39" s="43">
        <v>100</v>
      </c>
      <c r="E39" s="49" t="s">
        <v>73</v>
      </c>
      <c r="F39" s="50">
        <v>42054</v>
      </c>
      <c r="G39" s="49">
        <v>2.4479000000000002</v>
      </c>
      <c r="H39" s="49" t="s">
        <v>77</v>
      </c>
    </row>
    <row r="40" spans="1:8" ht="12" customHeight="1" x14ac:dyDescent="0.3">
      <c r="A40" s="48" t="s">
        <v>64</v>
      </c>
      <c r="B40" s="42" t="s">
        <v>65</v>
      </c>
      <c r="C40" s="43">
        <v>300100</v>
      </c>
      <c r="D40" s="43">
        <v>252438.32</v>
      </c>
      <c r="E40" s="49" t="s">
        <v>73</v>
      </c>
      <c r="F40" s="50">
        <v>42054</v>
      </c>
      <c r="G40" s="49">
        <v>2.4479000000000002</v>
      </c>
      <c r="H40" s="49" t="s">
        <v>77</v>
      </c>
    </row>
    <row r="41" spans="1:8" ht="12" customHeight="1" x14ac:dyDescent="0.3">
      <c r="A41" s="48" t="s">
        <v>19</v>
      </c>
      <c r="B41" s="42" t="s">
        <v>20</v>
      </c>
      <c r="C41" s="43">
        <v>286752.02</v>
      </c>
      <c r="D41" s="43">
        <v>100</v>
      </c>
      <c r="E41" s="49" t="s">
        <v>73</v>
      </c>
      <c r="F41" s="50">
        <v>42054</v>
      </c>
      <c r="G41" s="49">
        <v>2.4479000000000002</v>
      </c>
      <c r="H41" s="49" t="s">
        <v>77</v>
      </c>
    </row>
    <row r="42" spans="1:8" ht="12" customHeight="1" x14ac:dyDescent="0.3">
      <c r="A42" s="48" t="s">
        <v>66</v>
      </c>
      <c r="B42" s="42" t="s">
        <v>67</v>
      </c>
      <c r="C42" s="43">
        <v>258447.98</v>
      </c>
      <c r="D42" s="43">
        <v>216210.67</v>
      </c>
      <c r="E42" s="49" t="s">
        <v>73</v>
      </c>
      <c r="F42" s="50">
        <v>42054</v>
      </c>
      <c r="G42" s="49">
        <v>2.4479000000000002</v>
      </c>
      <c r="H42" s="49" t="s">
        <v>77</v>
      </c>
    </row>
    <row r="43" spans="1:8" ht="12" customHeight="1" x14ac:dyDescent="0.3">
      <c r="A43" s="48" t="s">
        <v>21</v>
      </c>
      <c r="B43" s="42" t="s">
        <v>22</v>
      </c>
      <c r="C43" s="43">
        <v>1250100</v>
      </c>
      <c r="D43" s="43">
        <v>225100.57</v>
      </c>
      <c r="E43" s="49" t="s">
        <v>73</v>
      </c>
      <c r="F43" s="50">
        <v>42054</v>
      </c>
      <c r="G43" s="49">
        <v>2.4479000000000002</v>
      </c>
      <c r="H43" s="49" t="s">
        <v>77</v>
      </c>
    </row>
    <row r="44" spans="1:8" ht="12" customHeight="1" x14ac:dyDescent="0.3">
      <c r="A44" s="48" t="s">
        <v>23</v>
      </c>
      <c r="B44" s="42" t="s">
        <v>24</v>
      </c>
      <c r="C44" s="43">
        <v>250100</v>
      </c>
      <c r="D44" s="43">
        <v>100</v>
      </c>
      <c r="E44" s="49" t="s">
        <v>73</v>
      </c>
      <c r="F44" s="50">
        <v>42054</v>
      </c>
      <c r="G44" s="49">
        <v>2.4479000000000002</v>
      </c>
      <c r="H44" s="49" t="s">
        <v>77</v>
      </c>
    </row>
    <row r="45" spans="1:8" ht="12" customHeight="1" x14ac:dyDescent="0.3">
      <c r="A45" s="48" t="s">
        <v>25</v>
      </c>
      <c r="B45" s="42" t="s">
        <v>26</v>
      </c>
      <c r="C45" s="43">
        <v>360100</v>
      </c>
      <c r="D45" s="43">
        <v>100</v>
      </c>
      <c r="E45" s="49" t="s">
        <v>73</v>
      </c>
      <c r="F45" s="50">
        <v>42054</v>
      </c>
      <c r="G45" s="49">
        <v>2.4479000000000002</v>
      </c>
      <c r="H45" s="49" t="s">
        <v>77</v>
      </c>
    </row>
    <row r="46" spans="1:8" ht="12" customHeight="1" x14ac:dyDescent="0.3">
      <c r="A46" s="48" t="s">
        <v>62</v>
      </c>
      <c r="B46" s="42" t="s">
        <v>63</v>
      </c>
      <c r="C46" s="43">
        <v>240100</v>
      </c>
      <c r="D46" s="43">
        <v>100</v>
      </c>
      <c r="E46" s="49" t="s">
        <v>73</v>
      </c>
      <c r="F46" s="50">
        <v>42054</v>
      </c>
      <c r="G46" s="49">
        <v>2.4479000000000002</v>
      </c>
      <c r="H46" s="49" t="s">
        <v>77</v>
      </c>
    </row>
    <row r="47" spans="1:8" ht="12" customHeight="1" x14ac:dyDescent="0.3">
      <c r="A47" s="48" t="s">
        <v>58</v>
      </c>
      <c r="B47" s="42" t="s">
        <v>59</v>
      </c>
      <c r="C47" s="44">
        <v>250100</v>
      </c>
      <c r="D47" s="44">
        <v>235968.88</v>
      </c>
      <c r="E47" s="49" t="s">
        <v>73</v>
      </c>
      <c r="F47" s="50">
        <v>42054</v>
      </c>
      <c r="G47" s="49">
        <v>2.4479000000000002</v>
      </c>
      <c r="H47" s="49" t="s">
        <v>78</v>
      </c>
    </row>
    <row r="48" spans="1:8" ht="12" customHeight="1" x14ac:dyDescent="0.3">
      <c r="A48" s="48" t="s">
        <v>49</v>
      </c>
      <c r="B48" s="42" t="s">
        <v>50</v>
      </c>
      <c r="C48" s="44">
        <v>230100</v>
      </c>
      <c r="D48" s="44">
        <v>192694.24</v>
      </c>
      <c r="E48" s="49" t="s">
        <v>73</v>
      </c>
      <c r="F48" s="50">
        <v>42054</v>
      </c>
      <c r="G48" s="49">
        <v>2.4479000000000002</v>
      </c>
      <c r="H48" s="49" t="s">
        <v>78</v>
      </c>
    </row>
    <row r="49" spans="1:8" ht="12" customHeight="1" x14ac:dyDescent="0.3">
      <c r="A49" s="48" t="s">
        <v>33</v>
      </c>
      <c r="B49" s="42" t="s">
        <v>34</v>
      </c>
      <c r="C49" s="44">
        <v>306100</v>
      </c>
      <c r="D49" s="44">
        <v>435222.74</v>
      </c>
      <c r="E49" s="49" t="s">
        <v>73</v>
      </c>
      <c r="F49" s="50">
        <v>42054</v>
      </c>
      <c r="G49" s="49">
        <v>2.4479000000000002</v>
      </c>
      <c r="H49" s="49" t="s">
        <v>78</v>
      </c>
    </row>
    <row r="50" spans="1:8" ht="12" customHeight="1" x14ac:dyDescent="0.3">
      <c r="A50" s="48" t="s">
        <v>29</v>
      </c>
      <c r="B50" s="42" t="s">
        <v>30</v>
      </c>
      <c r="C50" s="44">
        <v>170100</v>
      </c>
      <c r="D50" s="44">
        <v>137020.79999999999</v>
      </c>
      <c r="E50" s="49" t="s">
        <v>73</v>
      </c>
      <c r="F50" s="50">
        <v>42054</v>
      </c>
      <c r="G50" s="49">
        <v>2.4479000000000002</v>
      </c>
      <c r="H50" s="49" t="s">
        <v>78</v>
      </c>
    </row>
    <row r="51" spans="1:8" ht="12" customHeight="1" x14ac:dyDescent="0.3">
      <c r="A51" s="48" t="s">
        <v>31</v>
      </c>
      <c r="B51" s="42" t="s">
        <v>32</v>
      </c>
      <c r="C51" s="44">
        <v>220100</v>
      </c>
      <c r="D51" s="44">
        <v>100</v>
      </c>
      <c r="E51" s="49" t="s">
        <v>73</v>
      </c>
      <c r="F51" s="50">
        <v>42054</v>
      </c>
      <c r="G51" s="49">
        <v>2.4479000000000002</v>
      </c>
      <c r="H51" s="49" t="s">
        <v>78</v>
      </c>
    </row>
    <row r="52" spans="1:8" ht="12" customHeight="1" x14ac:dyDescent="0.3">
      <c r="A52" s="48" t="s">
        <v>37</v>
      </c>
      <c r="B52" s="45" t="s">
        <v>38</v>
      </c>
      <c r="C52" s="43">
        <v>0</v>
      </c>
      <c r="D52" s="43">
        <v>59397.599999999999</v>
      </c>
      <c r="E52" s="49" t="s">
        <v>80</v>
      </c>
      <c r="F52" s="50">
        <v>42054</v>
      </c>
      <c r="G52" s="49">
        <v>2.4479000000000002</v>
      </c>
      <c r="H52" s="49" t="s">
        <v>79</v>
      </c>
    </row>
    <row r="53" spans="1:8" ht="12" customHeight="1" x14ac:dyDescent="0.3">
      <c r="A53" s="48" t="s">
        <v>27</v>
      </c>
      <c r="B53" s="45" t="s">
        <v>39</v>
      </c>
      <c r="C53" s="43">
        <v>0</v>
      </c>
      <c r="D53" s="43">
        <v>21500</v>
      </c>
      <c r="E53" s="49" t="s">
        <v>80</v>
      </c>
      <c r="F53" s="50">
        <v>42054</v>
      </c>
      <c r="G53" s="49">
        <v>2.4479000000000002</v>
      </c>
      <c r="H53" s="49" t="s">
        <v>79</v>
      </c>
    </row>
    <row r="54" spans="1:8" ht="12" customHeight="1" x14ac:dyDescent="0.3">
      <c r="A54" s="48" t="s">
        <v>37</v>
      </c>
      <c r="B54" s="45" t="s">
        <v>40</v>
      </c>
      <c r="C54" s="43">
        <v>0</v>
      </c>
      <c r="D54" s="46">
        <v>81052</v>
      </c>
      <c r="E54" s="49" t="s">
        <v>81</v>
      </c>
      <c r="F54" s="50">
        <v>42054</v>
      </c>
      <c r="G54" s="49">
        <v>2.4479000000000002</v>
      </c>
      <c r="H54" s="49" t="s">
        <v>79</v>
      </c>
    </row>
    <row r="55" spans="1:8" ht="12" customHeight="1" x14ac:dyDescent="0.3">
      <c r="A55" s="48" t="s">
        <v>53</v>
      </c>
      <c r="B55" s="45" t="s">
        <v>54</v>
      </c>
      <c r="C55" s="43">
        <v>0</v>
      </c>
      <c r="D55" s="46">
        <v>117793.02</v>
      </c>
      <c r="E55" s="49" t="s">
        <v>81</v>
      </c>
      <c r="F55" s="50">
        <v>42054</v>
      </c>
      <c r="G55" s="49">
        <v>2.4479000000000002</v>
      </c>
      <c r="H55" s="49" t="s">
        <v>79</v>
      </c>
    </row>
    <row r="56" spans="1:8" ht="12" customHeight="1" x14ac:dyDescent="0.3">
      <c r="A56" s="48" t="s">
        <v>47</v>
      </c>
      <c r="B56" s="45" t="s">
        <v>48</v>
      </c>
      <c r="C56" s="43">
        <v>0</v>
      </c>
      <c r="D56" s="47">
        <v>16830</v>
      </c>
      <c r="E56" s="49" t="s">
        <v>73</v>
      </c>
      <c r="F56" s="50">
        <v>42054</v>
      </c>
      <c r="G56" s="49">
        <v>2.4479000000000002</v>
      </c>
      <c r="H56" s="49" t="s">
        <v>79</v>
      </c>
    </row>
    <row r="57" spans="1:8" ht="12" customHeight="1" x14ac:dyDescent="0.3">
      <c r="A57" s="48" t="s">
        <v>37</v>
      </c>
      <c r="B57" s="45" t="s">
        <v>42</v>
      </c>
      <c r="C57" s="43">
        <v>0</v>
      </c>
      <c r="D57" s="47">
        <v>68685</v>
      </c>
      <c r="E57" s="49" t="s">
        <v>73</v>
      </c>
      <c r="F57" s="50">
        <v>42054</v>
      </c>
      <c r="G57" s="49">
        <v>2.4479000000000002</v>
      </c>
      <c r="H57" s="49" t="s">
        <v>79</v>
      </c>
    </row>
    <row r="58" spans="1:8" ht="12" customHeight="1" x14ac:dyDescent="0.3">
      <c r="A58" s="48" t="s">
        <v>43</v>
      </c>
      <c r="B58" s="45" t="s">
        <v>44</v>
      </c>
      <c r="C58" s="43">
        <v>0</v>
      </c>
      <c r="D58" s="47">
        <v>18420</v>
      </c>
      <c r="E58" s="49" t="s">
        <v>73</v>
      </c>
      <c r="F58" s="50">
        <v>42054</v>
      </c>
      <c r="G58" s="49">
        <v>2.4479000000000002</v>
      </c>
      <c r="H58" s="49" t="s">
        <v>79</v>
      </c>
    </row>
    <row r="59" spans="1:8" ht="12" customHeight="1" x14ac:dyDescent="0.3">
      <c r="A59" s="48" t="s">
        <v>27</v>
      </c>
      <c r="B59" s="45" t="s">
        <v>45</v>
      </c>
      <c r="C59" s="43">
        <v>0</v>
      </c>
      <c r="D59" s="47">
        <v>40646.17</v>
      </c>
      <c r="E59" s="49" t="s">
        <v>73</v>
      </c>
      <c r="F59" s="50">
        <v>42054</v>
      </c>
      <c r="G59" s="49">
        <v>2.4479000000000002</v>
      </c>
      <c r="H59" s="49" t="s">
        <v>79</v>
      </c>
    </row>
  </sheetData>
  <printOptions horizontalCentered="1"/>
  <pageMargins left="0.5" right="0.5" top="0.6" bottom="0.4" header="0.2" footer="0.1"/>
  <pageSetup paperSize="9" scale="96" fitToHeight="0" orientation="landscape" horizontalDpi="4294967293" r:id="rId1"/>
  <headerFooter>
    <oddHeader>&amp;C&amp;"Verdana,Kalın"&amp;14&amp;UYURT İÇİ KREDİ VE RİSK LİMİTİ</oddHeader>
    <oddFooter>&amp;C&amp;"Tahoma,Normal"&amp;9 damla 
18/02/2015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2</vt:i4>
      </vt:variant>
    </vt:vector>
  </HeadingPairs>
  <TitlesOfParts>
    <vt:vector size="2" baseType="lpstr">
      <vt:lpstr>Örnek Rapor</vt:lpstr>
      <vt:lpstr>Veriler</vt:lpstr>
    </vt:vector>
  </TitlesOfParts>
  <Company>Nebim Neyir Bilgisayar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Moiz Alalu</dc:creator>
  <cp:lastModifiedBy>amacara</cp:lastModifiedBy>
  <cp:lastPrinted>2014-03-18T09:08:20Z</cp:lastPrinted>
  <dcterms:created xsi:type="dcterms:W3CDTF">2008-05-29T04:38:40Z</dcterms:created>
  <dcterms:modified xsi:type="dcterms:W3CDTF">2015-08-14T15:07:47Z</dcterms:modified>
</cp:coreProperties>
</file>